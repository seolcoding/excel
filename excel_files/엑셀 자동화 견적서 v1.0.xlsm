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info\Dropbox\9. 내 드롭박스\@. #오빠두\## 홈페이지 공유파일\3. 자료실\엑셀 자동화 견적서\"/>
    </mc:Choice>
  </mc:AlternateContent>
  <xr:revisionPtr revIDLastSave="0" documentId="13_ncr:1_{CCF65944-96F0-47C5-A150-9E1E8C073CD8}" xr6:coauthVersionLast="47" xr6:coauthVersionMax="47" xr10:uidLastSave="{00000000-0000-0000-0000-000000000000}"/>
  <bookViews>
    <workbookView xWindow="4992" yWindow="0" windowWidth="15036" windowHeight="13968" xr2:uid="{2CEBB667-B5D9-499D-8C9B-288980746502}"/>
  </bookViews>
  <sheets>
    <sheet name="견적서" sheetId="2" r:id="rId1"/>
    <sheet name="DB" sheetId="3" r:id="rId2"/>
    <sheet name="제품목록" sheetId="4" r:id="rId3"/>
    <sheet name="✨보충강의" sheetId="9" r:id="rId4"/>
  </sheets>
  <definedNames>
    <definedName name="_xlnm._FilterDatabase" localSheetId="1" hidden="1">DB!$A$1:$J$51</definedName>
    <definedName name="_xlnm.Criteria" localSheetId="1">DB!$L$1:$L$2</definedName>
    <definedName name="_xlnm.Extract" localSheetId="1">DB!$N$1:$T$1</definedName>
    <definedName name="_xlnm.Extract" localSheetId="0">견적서!$B$10:$H$10</definedName>
    <definedName name="초기화">견적서!$C$4,견적서!$B$5,견적서!$B$6</definedName>
    <definedName name="초기화2">견적서!$C$4,견적서!$B$5,견적서!$B$6</definedName>
    <definedName name="초기화범위">견적서!$C$4,견적서!$B$5,견적서!$B$6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9" l="1"/>
  <c r="E4" i="9"/>
  <c r="E5" i="9"/>
  <c r="E6" i="9"/>
  <c r="E7" i="9"/>
  <c r="D28" i="2"/>
  <c r="L2" i="3"/>
  <c r="E28" i="2" l="1"/>
  <c r="G28" i="2" l="1"/>
  <c r="F28" i="2"/>
  <c r="G8" i="2" l="1"/>
  <c r="C8" i="2"/>
</calcChain>
</file>

<file path=xl/sharedStrings.xml><?xml version="1.0" encoding="utf-8"?>
<sst xmlns="http://schemas.openxmlformats.org/spreadsheetml/2006/main" count="315" uniqueCount="97">
  <si>
    <t>PO-00003</t>
    <phoneticPr fontId="1" type="noConversion"/>
  </si>
  <si>
    <t>등록번호</t>
    <phoneticPr fontId="1" type="noConversion"/>
  </si>
  <si>
    <t>상호(법인명)</t>
    <phoneticPr fontId="1" type="noConversion"/>
  </si>
  <si>
    <t>담당자</t>
    <phoneticPr fontId="1" type="noConversion"/>
  </si>
  <si>
    <t>사업장 주소</t>
    <phoneticPr fontId="1" type="noConversion"/>
  </si>
  <si>
    <t>연락처</t>
    <phoneticPr fontId="1" type="noConversion"/>
  </si>
  <si>
    <t>이메일</t>
    <phoneticPr fontId="1" type="noConversion"/>
  </si>
  <si>
    <t>(공급가액 + 세액)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</si>
  <si>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</si>
  <si>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</si>
  <si>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</si>
  <si>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단가</t>
    <phoneticPr fontId="1" type="noConversion"/>
  </si>
  <si>
    <t>공급가액</t>
    <phoneticPr fontId="1" type="noConversion"/>
  </si>
  <si>
    <t>세액</t>
    <phoneticPr fontId="1" type="noConversion"/>
  </si>
  <si>
    <t>비고</t>
    <phoneticPr fontId="1" type="noConversion"/>
  </si>
  <si>
    <t>떡볶이</t>
    <phoneticPr fontId="1" type="noConversion"/>
  </si>
  <si>
    <t>김치찌개</t>
    <phoneticPr fontId="1" type="noConversion"/>
  </si>
  <si>
    <t>된장찌개</t>
    <phoneticPr fontId="1" type="noConversion"/>
  </si>
  <si>
    <t>견적서번호</t>
    <phoneticPr fontId="1" type="noConversion"/>
  </si>
  <si>
    <t>날짜</t>
    <phoneticPr fontId="1" type="noConversion"/>
  </si>
  <si>
    <t>거래처</t>
    <phoneticPr fontId="1" type="noConversion"/>
  </si>
  <si>
    <t>PO-00001</t>
    <phoneticPr fontId="1" type="noConversion"/>
  </si>
  <si>
    <t>구글 코리아</t>
  </si>
  <si>
    <t>치즈 돈까스</t>
  </si>
  <si>
    <t>EA</t>
    <phoneticPr fontId="1" type="noConversion"/>
  </si>
  <si>
    <t>감바스</t>
    <phoneticPr fontId="1" type="noConversion"/>
  </si>
  <si>
    <t>BOX</t>
    <phoneticPr fontId="1" type="noConversion"/>
  </si>
  <si>
    <t>간장 불고기</t>
  </si>
  <si>
    <t>문어해물탕</t>
    <phoneticPr fontId="1" type="noConversion"/>
  </si>
  <si>
    <t>물냉면</t>
  </si>
  <si>
    <t>PACK</t>
    <phoneticPr fontId="1" type="noConversion"/>
  </si>
  <si>
    <t>닭한마리 칼국수</t>
    <phoneticPr fontId="1" type="noConversion"/>
  </si>
  <si>
    <t>PO-00002</t>
    <phoneticPr fontId="1" type="noConversion"/>
  </si>
  <si>
    <t>유튜브 코리아</t>
  </si>
  <si>
    <t>부대찌개</t>
    <phoneticPr fontId="1" type="noConversion"/>
  </si>
  <si>
    <t>들기름 막국수</t>
  </si>
  <si>
    <t>콩나물 불고기</t>
    <phoneticPr fontId="1" type="noConversion"/>
  </si>
  <si>
    <t>어묵 전골</t>
    <phoneticPr fontId="1" type="noConversion"/>
  </si>
  <si>
    <t>메타 코리아</t>
  </si>
  <si>
    <t>PO-00004</t>
    <phoneticPr fontId="1" type="noConversion"/>
  </si>
  <si>
    <t>네이버</t>
  </si>
  <si>
    <t>낙곱새</t>
  </si>
  <si>
    <t>PO-00005</t>
  </si>
  <si>
    <t>마이크로소프트</t>
  </si>
  <si>
    <t>부대찌개</t>
  </si>
  <si>
    <t>EA</t>
  </si>
  <si>
    <t>콩나물 불고기</t>
  </si>
  <si>
    <t>PO-00006</t>
  </si>
  <si>
    <t>엔비디아</t>
  </si>
  <si>
    <t>닭한마리 칼국수</t>
  </si>
  <si>
    <t>PACK</t>
  </si>
  <si>
    <t>PO-00007</t>
  </si>
  <si>
    <t>테슬라</t>
  </si>
  <si>
    <t>떡볶이</t>
  </si>
  <si>
    <t>김치찌개</t>
  </si>
  <si>
    <t>된장찌개</t>
  </si>
  <si>
    <t>BOX</t>
  </si>
  <si>
    <t>소고기 스테이크</t>
    <phoneticPr fontId="1" type="noConversion"/>
  </si>
  <si>
    <t>순두부찌개</t>
    <phoneticPr fontId="1" type="noConversion"/>
  </si>
  <si>
    <t>순대전골</t>
    <phoneticPr fontId="1" type="noConversion"/>
  </si>
  <si>
    <t>합계금액</t>
    <phoneticPr fontId="1" type="noConversion"/>
  </si>
  <si>
    <t>https://www.oppadu.com/%ec%a7%84%ec%a7%9c%ec%93%b0%eb%8a%94-%ec%8b%a4%eb%ac%b4%ec%97%91%ec%85%80-3-2-1/</t>
    <phoneticPr fontId="1" type="noConversion"/>
  </si>
  <si>
    <t>실무에서 자주 사용되는 대표 셀 서식 - 실전 활용</t>
    <phoneticPr fontId="1" type="noConversion"/>
  </si>
  <si>
    <t>https://www.oppadu.com/%ec%a7%84%ec%a7%9c%ec%93%b0%eb%8a%94-%ec%8b%a4%eb%ac%b4%ec%97%91%ec%85%80-7-4-2/</t>
    <phoneticPr fontId="1" type="noConversion"/>
  </si>
  <si>
    <t>이제 VLOOKUP 보다 중요한 필수 함수! - FILTER 함수 5분 정리</t>
    <phoneticPr fontId="1" type="noConversion"/>
  </si>
  <si>
    <t>링크텍스트</t>
    <phoneticPr fontId="1" type="noConversion"/>
  </si>
  <si>
    <t>링크</t>
    <phoneticPr fontId="1" type="noConversion"/>
  </si>
  <si>
    <t>제목</t>
    <phoneticPr fontId="1" type="noConversion"/>
  </si>
  <si>
    <t>https://www.oppadu.com/%ec%a7%84%ec%a7%9c%ec%93%b0%eb%8a%94-%ec%8b%a4%eb%ac%b4%ec%97%91%ec%85%80-5-6-1/</t>
    <phoneticPr fontId="1" type="noConversion"/>
  </si>
  <si>
    <t>엑셀 고급필터, 어렵지 않아요! - 초보자 완벽 가이드</t>
    <phoneticPr fontId="1" type="noConversion"/>
  </si>
  <si>
    <t>https://www.oppadu.com/challenges/vba-basic/lobby/</t>
    <phoneticPr fontId="1" type="noConversion"/>
  </si>
  <si>
    <r>
      <rPr>
        <sz val="11"/>
        <color theme="1"/>
        <rFont val="Segoe UI Symbol"/>
        <family val="2"/>
      </rPr>
      <t>🔥</t>
    </r>
    <r>
      <rPr>
        <sz val="11"/>
        <color theme="1"/>
        <rFont val="맑은 고딕"/>
        <family val="2"/>
        <charset val="129"/>
        <scheme val="minor"/>
      </rPr>
      <t xml:space="preserve"> 엑셀 VBA 기초 완성, 원데이 챌린지</t>
    </r>
    <phoneticPr fontId="1" type="noConversion"/>
  </si>
  <si>
    <t>견 적 서</t>
    <phoneticPr fontId="1" type="noConversion"/>
  </si>
  <si>
    <t>견적서 번호 :</t>
    <phoneticPr fontId="1" type="noConversion"/>
  </si>
  <si>
    <t>님 귀하</t>
    <phoneticPr fontId="1" type="noConversion"/>
  </si>
  <si>
    <t>아래와 같이 견적합니다.</t>
    <phoneticPr fontId="1" type="noConversion"/>
  </si>
  <si>
    <t>123-45-67890</t>
    <phoneticPr fontId="1" type="noConversion"/>
  </si>
  <si>
    <t>오빠두 밀키트</t>
    <phoneticPr fontId="1" type="noConversion"/>
  </si>
  <si>
    <t>전진권</t>
    <phoneticPr fontId="1" type="noConversion"/>
  </si>
  <si>
    <t>서울시 강남구 강남대로 오빠두 빌딩 12층</t>
    <phoneticPr fontId="1" type="noConversion"/>
  </si>
  <si>
    <t>010-1234-1234</t>
    <phoneticPr fontId="1" type="noConversion"/>
  </si>
  <si>
    <t>abc@naver.com</t>
    <phoneticPr fontId="1" type="noConversion"/>
  </si>
  <si>
    <t>PO-00008</t>
  </si>
  <si>
    <t>합계</t>
  </si>
  <si>
    <t>오빠두엑셀</t>
  </si>
  <si>
    <t>순대볶음</t>
  </si>
  <si>
    <t>순대볶음</t>
    <phoneticPr fontId="1" type="noConversion"/>
  </si>
  <si>
    <t>PO-00012</t>
  </si>
  <si>
    <t>PO-00015</t>
  </si>
  <si>
    <t>PO-00020</t>
  </si>
  <si>
    <t>오빠두 밀키트</t>
  </si>
  <si>
    <t>PO-00001-V2</t>
  </si>
  <si>
    <t>https://www.oppadu.com/live/198/</t>
    <phoneticPr fontId="1" type="noConversion"/>
  </si>
  <si>
    <t>[멤버십] 엑셀 초보자를 위한 견적서 자동화 서식 만들기 | ChatGPT 실전 활용법</t>
    <phoneticPr fontId="1" type="noConversion"/>
  </si>
  <si>
    <t>PO-00002</t>
    <phoneticPr fontId="1" type="noConversion"/>
  </si>
  <si>
    <t>어묵 전골</t>
  </si>
  <si>
    <t>2024-11-03(일)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</si>
</sst>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&quot;월&quot;\ dd&quot;일&quot;"/>
    <numFmt numFmtId="177" formatCode="yyyy&quot;년&quot;\ mm&quot;월&quot;\ dd&quot;일&quot;\ \(aaa\)"/>
    <numFmt numFmtId="178" formatCode="[DBNum4]&quot;일금 &quot;General&quot; 원정&quot;"/>
    <numFmt numFmtId="179" formatCode="_ \(&quot;₩&quot;* #,##0\)_ 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sz val="18"/>
      <color theme="1"/>
      <name val="맑은 고딕"/>
      <family val="3"/>
      <charset val="129"/>
      <scheme val="maj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Segoe UI Symbol"/>
      <family val="2"/>
    </font>
    <font>
      <b/>
      <u val="double"/>
      <sz val="36"/>
      <color theme="1"/>
      <name val="맑은 고딕"/>
      <family val="3"/>
      <charset val="129"/>
      <scheme val="major"/>
    </font>
    <font>
      <b/>
      <u/>
      <sz val="14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3" fontId="2" fillId="2" borderId="0" xfId="0" applyNumberFormat="1" applyFont="1" applyFill="1" applyAlignment="1">
      <alignment horizontal="center" vertical="center"/>
    </xf>
    <xf numFmtId="0" fontId="3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0" fontId="3" fillId="0" borderId="0" xfId="0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3" fontId="3" fillId="0" borderId="0" xfId="0" applyNumberFormat="1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0" xfId="0" applyNumberFormat="1" applyFont="1">
      <alignment vertical="center"/>
    </xf>
    <xf numFmtId="3" fontId="0" fillId="0" borderId="0" xfId="0" applyNumberFormat="1">
      <alignment vertic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1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 wrapText="1" inden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 indent="1"/>
    </xf>
    <xf numFmtId="3" fontId="4" fillId="0" borderId="1" xfId="0" applyNumberFormat="1" applyFont="1" applyBorder="1">
      <alignment vertical="center"/>
    </xf>
    <xf numFmtId="3" fontId="4" fillId="2" borderId="1" xfId="0" applyNumberFormat="1" applyFont="1" applyFill="1" applyBorder="1">
      <alignment vertical="center"/>
    </xf>
    <xf numFmtId="178" fontId="8" fillId="0" borderId="6" xfId="0" applyNumberFormat="1" applyFont="1" applyBorder="1" applyAlignment="1">
      <alignment horizontal="center" vertical="center"/>
    </xf>
    <xf numFmtId="178" fontId="8" fillId="0" borderId="7" xfId="0" applyNumberFormat="1" applyFont="1" applyBorder="1" applyAlignment="1">
      <alignment horizontal="center" vertical="center"/>
    </xf>
    <xf numFmtId="178" fontId="8" fillId="0" borderId="8" xfId="0" applyNumberFormat="1" applyFont="1" applyBorder="1" applyAlignment="1">
      <alignment horizontal="center" vertical="center"/>
    </xf>
    <xf numFmtId="178" fontId="8" fillId="0" borderId="4" xfId="0" applyNumberFormat="1" applyFont="1" applyBorder="1" applyAlignment="1">
      <alignment horizontal="center" vertical="center"/>
    </xf>
    <xf numFmtId="178" fontId="8" fillId="0" borderId="5" xfId="0" applyNumberFormat="1" applyFont="1" applyBorder="1" applyAlignment="1">
      <alignment horizontal="center" vertical="center"/>
    </xf>
    <xf numFmtId="178" fontId="8" fillId="0" borderId="9" xfId="0" applyNumberFormat="1" applyFont="1" applyBorder="1" applyAlignment="1">
      <alignment horizontal="center" vertical="center"/>
    </xf>
    <xf numFmtId="179" fontId="8" fillId="0" borderId="6" xfId="0" applyNumberFormat="1" applyFont="1" applyBorder="1" applyAlignment="1">
      <alignment horizontal="center" vertical="center"/>
    </xf>
    <xf numFmtId="179" fontId="8" fillId="0" borderId="8" xfId="0" applyNumberFormat="1" applyFont="1" applyBorder="1" applyAlignment="1">
      <alignment horizontal="center" vertical="center"/>
    </xf>
    <xf numFmtId="179" fontId="8" fillId="0" borderId="4" xfId="0" applyNumberFormat="1" applyFont="1" applyBorder="1" applyAlignment="1">
      <alignment horizontal="center" vertical="center"/>
    </xf>
    <xf numFmtId="179" fontId="8" fillId="0" borderId="9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6" fillId="0" borderId="1" xfId="0" applyFont="1" applyBorder="1" applyAlignment="1">
      <alignment horizontal="center" vertical="center"/>
    </xf>
    <xf numFmtId="177" fontId="5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">
    <dxf>
      <alignment horizontal="center" vertical="center" textRotation="0" wrapText="0" indent="0" justifyLastLine="0" shrinkToFit="0" readingOrder="0"/>
    </dxf>
    <dxf>
      <alignment horizontal="left" vertical="center" textRotation="0" wrapText="1" relativeIndent="1" justifyLastLine="0" shrinkToFit="0" readingOrder="0"/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7979FF"/>
      <color rgb="FFE1E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hyperlink" Target="https://product.kyobobook.co.kr/detail/S000001952241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163607</xdr:colOff>
      <xdr:row>26</xdr:row>
      <xdr:rowOff>358589</xdr:rowOff>
    </xdr:from>
    <xdr:to>
      <xdr:col>7</xdr:col>
      <xdr:colOff>1232649</xdr:colOff>
      <xdr:row>28</xdr:row>
      <xdr:rowOff>265926</xdr:rowOff>
    </xdr:to>
    <xdr:pic>
      <xdr:nvPicPr>
        <xdr:cNvPr id="3" name="그림 2" descr="텍스트, 로고, 직사각형, 물질적 속성이(가) 표시된 사진&#10;&#10;자동 생성된 설명">
          <a:extLst>
            <a:ext uri="{FF2B5EF4-FFF2-40B4-BE49-F238E27FC236}">
              <a16:creationId xmlns:a16="http://schemas.microsoft.com/office/drawing/2014/main" id="{EB6368D7-1ECC-414E-20B2-B6970C615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bright="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4536" t="36751" r="29813" b="26246"/>
        <a:stretch/>
      </xdr:blipFill>
      <xdr:spPr>
        <a:xfrm>
          <a:off x="8668872" y="13032442"/>
          <a:ext cx="1069042" cy="983102"/>
        </a:xfrm>
        <a:prstGeom prst="rect">
          <a:avLst/>
        </a:prstGeom>
      </xdr:spPr>
    </xdr:pic>
    <xdr:clientData/>
  </xdr:twoCellAnchor>
  <xdr:twoCellAnchor>
    <xdr:from>
      <xdr:col>5</xdr:col>
      <xdr:colOff>267928</xdr:colOff>
      <xdr:row>1</xdr:row>
      <xdr:rowOff>105076</xdr:rowOff>
    </xdr:from>
    <xdr:to>
      <xdr:col>6</xdr:col>
      <xdr:colOff>714785</xdr:colOff>
      <xdr:row>1</xdr:row>
      <xdr:rowOff>527538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34F333B7-5015-F3A4-B545-A01C5EC04A98}"/>
            </a:ext>
          </a:extLst>
        </xdr:cNvPr>
        <xdr:cNvGrpSpPr/>
      </xdr:nvGrpSpPr>
      <xdr:grpSpPr>
        <a:xfrm>
          <a:off x="6189757" y="192162"/>
          <a:ext cx="1742257" cy="422462"/>
          <a:chOff x="6234550" y="203610"/>
          <a:chExt cx="1754081" cy="422462"/>
        </a:xfrm>
      </xdr:grpSpPr>
      <xdr:sp macro="[0]!PDF저장" textlink="">
        <xdr:nvSpPr>
          <xdr:cNvPr id="4" name="사각형: 둥근 모서리 3">
            <a:extLst>
              <a:ext uri="{FF2B5EF4-FFF2-40B4-BE49-F238E27FC236}">
                <a16:creationId xmlns:a16="http://schemas.microsoft.com/office/drawing/2014/main" id="{BE83DB05-7D38-E598-D84E-22E5B2FCF65F}"/>
              </a:ext>
            </a:extLst>
          </xdr:cNvPr>
          <xdr:cNvSpPr/>
        </xdr:nvSpPr>
        <xdr:spPr>
          <a:xfrm>
            <a:off x="6234550" y="203610"/>
            <a:ext cx="1754081" cy="422462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200" b="1" kern="1200">
                <a:solidFill>
                  <a:sysClr val="windowText" lastClr="000000"/>
                </a:solidFill>
                <a:latin typeface="+mn-ea"/>
                <a:ea typeface="+mn-ea"/>
              </a:rPr>
              <a:t>  </a:t>
            </a:r>
            <a:r>
              <a:rPr lang="en-US" altLang="ko-KR" sz="1200" b="1" kern="1200">
                <a:solidFill>
                  <a:sysClr val="windowText" lastClr="000000"/>
                </a:solidFill>
                <a:latin typeface="+mn-ea"/>
                <a:ea typeface="+mn-ea"/>
              </a:rPr>
              <a:t>PDF</a:t>
            </a:r>
            <a:r>
              <a:rPr lang="en-US" altLang="ko-KR" sz="1200" b="1" kern="1200" baseline="0">
                <a:solidFill>
                  <a:sysClr val="windowText" lastClr="000000"/>
                </a:solidFill>
                <a:latin typeface="+mn-ea"/>
                <a:ea typeface="+mn-ea"/>
              </a:rPr>
              <a:t> </a:t>
            </a:r>
            <a:r>
              <a:rPr lang="ko-KR" altLang="en-US" sz="1200" b="1" kern="1200" baseline="0">
                <a:solidFill>
                  <a:sysClr val="windowText" lastClr="000000"/>
                </a:solidFill>
                <a:latin typeface="+mn-ea"/>
                <a:ea typeface="+mn-ea"/>
              </a:rPr>
              <a:t>출력</a:t>
            </a:r>
            <a:endParaRPr lang="ko-KR" altLang="en-US" sz="1200" b="1" kern="1200">
              <a:solidFill>
                <a:sysClr val="windowText" lastClr="000000"/>
              </a:solidFill>
              <a:latin typeface="+mn-ea"/>
              <a:ea typeface="+mn-ea"/>
            </a:endParaRPr>
          </a:p>
        </xdr:txBody>
      </xdr:sp>
      <xdr:pic macro="[0]!PDF저장">
        <xdr:nvPicPr>
          <xdr:cNvPr id="7" name="그림 6" descr="Pdf ">
            <a:extLst>
              <a:ext uri="{FF2B5EF4-FFF2-40B4-BE49-F238E27FC236}">
                <a16:creationId xmlns:a16="http://schemas.microsoft.com/office/drawing/2014/main" id="{4BB8EB99-A9C5-CA76-4E94-14A58D430E1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41394" y="295574"/>
            <a:ext cx="240060" cy="240196"/>
          </a:xfrm>
          <a:prstGeom prst="rect">
            <a:avLst/>
          </a:prstGeom>
          <a:noFill/>
          <a:ln w="19050">
            <a:noFill/>
          </a:ln>
          <a:effectLst>
            <a:outerShdw blurRad="63500" sx="102000" sy="102000" algn="ctr" rotWithShape="0">
              <a:prstClr val="black">
                <a:alpha val="81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>
    <xdr:from>
      <xdr:col>6</xdr:col>
      <xdr:colOff>855057</xdr:colOff>
      <xdr:row>1</xdr:row>
      <xdr:rowOff>100853</xdr:rowOff>
    </xdr:from>
    <xdr:to>
      <xdr:col>8</xdr:col>
      <xdr:colOff>2031</xdr:colOff>
      <xdr:row>1</xdr:row>
      <xdr:rowOff>523315</xdr:rowOff>
    </xdr:to>
    <xdr:grpSp>
      <xdr:nvGrpSpPr>
        <xdr:cNvPr id="10" name="그룹 9">
          <a:extLst>
            <a:ext uri="{FF2B5EF4-FFF2-40B4-BE49-F238E27FC236}">
              <a16:creationId xmlns:a16="http://schemas.microsoft.com/office/drawing/2014/main" id="{E2837685-7919-575E-121B-356DDB3417BD}"/>
            </a:ext>
          </a:extLst>
        </xdr:cNvPr>
        <xdr:cNvGrpSpPr/>
      </xdr:nvGrpSpPr>
      <xdr:grpSpPr>
        <a:xfrm>
          <a:off x="8072286" y="187939"/>
          <a:ext cx="1737774" cy="422462"/>
          <a:chOff x="8135472" y="196103"/>
          <a:chExt cx="1760634" cy="422462"/>
        </a:xfrm>
      </xdr:grpSpPr>
      <xdr:sp macro="[0]!견적서저장" textlink="">
        <xdr:nvSpPr>
          <xdr:cNvPr id="2" name="사각형: 둥근 모서리 1">
            <a:extLst>
              <a:ext uri="{FF2B5EF4-FFF2-40B4-BE49-F238E27FC236}">
                <a16:creationId xmlns:a16="http://schemas.microsoft.com/office/drawing/2014/main" id="{801509BA-1561-4511-AA62-C1AA381722E0}"/>
              </a:ext>
            </a:extLst>
          </xdr:cNvPr>
          <xdr:cNvSpPr/>
        </xdr:nvSpPr>
        <xdr:spPr>
          <a:xfrm>
            <a:off x="8135472" y="196103"/>
            <a:ext cx="1760634" cy="422462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200" b="1" kern="1200">
                <a:solidFill>
                  <a:sysClr val="windowText" lastClr="000000"/>
                </a:solidFill>
              </a:rPr>
              <a:t>견적서 저장</a:t>
            </a:r>
          </a:p>
        </xdr:txBody>
      </xdr:sp>
      <xdr:pic macro="[0]!견적서저장">
        <xdr:nvPicPr>
          <xdr:cNvPr id="9" name="그림 8" descr="Diskette ">
            <a:extLst>
              <a:ext uri="{FF2B5EF4-FFF2-40B4-BE49-F238E27FC236}">
                <a16:creationId xmlns:a16="http://schemas.microsoft.com/office/drawing/2014/main" id="{E3B8BEC4-9C64-0403-CE52-85E9501FAC9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263890" y="308611"/>
            <a:ext cx="205740" cy="206383"/>
          </a:xfrm>
          <a:prstGeom prst="rect">
            <a:avLst/>
          </a:prstGeom>
          <a:noFill/>
          <a:ln w="1905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>
    <xdr:from>
      <xdr:col>1</xdr:col>
      <xdr:colOff>22278</xdr:colOff>
      <xdr:row>1</xdr:row>
      <xdr:rowOff>117663</xdr:rowOff>
    </xdr:from>
    <xdr:to>
      <xdr:col>1</xdr:col>
      <xdr:colOff>1771588</xdr:colOff>
      <xdr:row>1</xdr:row>
      <xdr:rowOff>540125</xdr:rowOff>
    </xdr:to>
    <xdr:grpSp>
      <xdr:nvGrpSpPr>
        <xdr:cNvPr id="14" name="그룹 13">
          <a:extLst>
            <a:ext uri="{FF2B5EF4-FFF2-40B4-BE49-F238E27FC236}">
              <a16:creationId xmlns:a16="http://schemas.microsoft.com/office/drawing/2014/main" id="{649DC152-E8EE-AB6E-2D31-F4F01D6B7753}"/>
            </a:ext>
          </a:extLst>
        </xdr:cNvPr>
        <xdr:cNvGrpSpPr/>
      </xdr:nvGrpSpPr>
      <xdr:grpSpPr>
        <a:xfrm>
          <a:off x="131135" y="204749"/>
          <a:ext cx="1749310" cy="422462"/>
          <a:chOff x="105103" y="216197"/>
          <a:chExt cx="1746739" cy="422462"/>
        </a:xfrm>
      </xdr:grpSpPr>
      <xdr:sp macro="[0]!견적서초기화" textlink="">
        <xdr:nvSpPr>
          <xdr:cNvPr id="5" name="사각형: 둥근 모서리 4">
            <a:extLst>
              <a:ext uri="{FF2B5EF4-FFF2-40B4-BE49-F238E27FC236}">
                <a16:creationId xmlns:a16="http://schemas.microsoft.com/office/drawing/2014/main" id="{E51705D6-0162-4D86-A82D-FE62489BFCA9}"/>
              </a:ext>
            </a:extLst>
          </xdr:cNvPr>
          <xdr:cNvSpPr/>
        </xdr:nvSpPr>
        <xdr:spPr>
          <a:xfrm>
            <a:off x="105103" y="216197"/>
            <a:ext cx="1746739" cy="422462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200" b="1" kern="1200">
                <a:solidFill>
                  <a:sysClr val="windowText" lastClr="000000"/>
                </a:solidFill>
              </a:rPr>
              <a:t>       새 견적서 추가</a:t>
            </a:r>
          </a:p>
        </xdr:txBody>
      </xdr:sp>
      <xdr:pic macro="[0]!견적서초기화">
        <xdr:nvPicPr>
          <xdr:cNvPr id="8" name="그림 7" descr="Sticky notes ">
            <a:extLst>
              <a:ext uri="{FF2B5EF4-FFF2-40B4-BE49-F238E27FC236}">
                <a16:creationId xmlns:a16="http://schemas.microsoft.com/office/drawing/2014/main" id="{9B1A87AA-9C8D-857C-B867-813CAFEA28B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7353" y="282179"/>
            <a:ext cx="290307" cy="289322"/>
          </a:xfrm>
          <a:prstGeom prst="rect">
            <a:avLst/>
          </a:prstGeom>
          <a:noFill/>
          <a:ln w="19050">
            <a:noFill/>
          </a:ln>
          <a:effectLst>
            <a:outerShdw blurRad="63500" sx="102000" sy="102000" algn="ctr" rotWithShape="0">
              <a:prstClr val="black">
                <a:alpha val="81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>
    <xdr:from>
      <xdr:col>1</xdr:col>
      <xdr:colOff>1964734</xdr:colOff>
      <xdr:row>1</xdr:row>
      <xdr:rowOff>117907</xdr:rowOff>
    </xdr:from>
    <xdr:to>
      <xdr:col>3</xdr:col>
      <xdr:colOff>247052</xdr:colOff>
      <xdr:row>1</xdr:row>
      <xdr:rowOff>540369</xdr:rowOff>
    </xdr:to>
    <xdr:grpSp>
      <xdr:nvGrpSpPr>
        <xdr:cNvPr id="13" name="그룹 12">
          <a:extLst>
            <a:ext uri="{FF2B5EF4-FFF2-40B4-BE49-F238E27FC236}">
              <a16:creationId xmlns:a16="http://schemas.microsoft.com/office/drawing/2014/main" id="{26999D94-CD58-CDED-7C55-75D2D2A248F3}"/>
            </a:ext>
          </a:extLst>
        </xdr:cNvPr>
        <xdr:cNvGrpSpPr/>
      </xdr:nvGrpSpPr>
      <xdr:grpSpPr>
        <a:xfrm>
          <a:off x="2073591" y="204993"/>
          <a:ext cx="1798404" cy="422462"/>
          <a:chOff x="1987009" y="216441"/>
          <a:chExt cx="1796715" cy="422462"/>
        </a:xfrm>
      </xdr:grpSpPr>
      <xdr:sp macro="[0]!견적서출력" textlink="">
        <xdr:nvSpPr>
          <xdr:cNvPr id="6" name="사각형: 둥근 모서리 5">
            <a:extLst>
              <a:ext uri="{FF2B5EF4-FFF2-40B4-BE49-F238E27FC236}">
                <a16:creationId xmlns:a16="http://schemas.microsoft.com/office/drawing/2014/main" id="{053443A6-FE9E-46D8-A414-C45C66AD75AA}"/>
              </a:ext>
            </a:extLst>
          </xdr:cNvPr>
          <xdr:cNvSpPr/>
        </xdr:nvSpPr>
        <xdr:spPr>
          <a:xfrm>
            <a:off x="1987009" y="216441"/>
            <a:ext cx="1796715" cy="422462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noFill/>
          </a:ln>
          <a:scene3d>
            <a:camera prst="orthographicFront"/>
            <a:lightRig rig="threePt" dir="t"/>
          </a:scene3d>
          <a:sp3d>
            <a:bevelT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200" b="1" kern="1200">
                <a:solidFill>
                  <a:sysClr val="windowText" lastClr="000000"/>
                </a:solidFill>
              </a:rPr>
              <a:t>        견적서 불러오기</a:t>
            </a:r>
          </a:p>
        </xdr:txBody>
      </xdr:sp>
      <xdr:pic macro="[0]!견적서출력">
        <xdr:nvPicPr>
          <xdr:cNvPr id="12" name="그림 11" descr="Open folder ">
            <a:extLst>
              <a:ext uri="{FF2B5EF4-FFF2-40B4-BE49-F238E27FC236}">
                <a16:creationId xmlns:a16="http://schemas.microsoft.com/office/drawing/2014/main" id="{6FDD066C-BF63-D7DC-2A00-63F4469238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08637" y="308742"/>
            <a:ext cx="242398" cy="243051"/>
          </a:xfrm>
          <a:prstGeom prst="rect">
            <a:avLst/>
          </a:prstGeom>
          <a:noFill/>
          <a:ln w="19050">
            <a:noFill/>
          </a:ln>
          <a:effectLst>
            <a:outerShdw blurRad="63500" sx="102000" sy="102000" algn="ctr" rotWithShape="0">
              <a:prstClr val="black">
                <a:alpha val="81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281940" y="114300"/>
    <xdr:ext cx="1236430" cy="3676649"/>
    <xdr:grpSp>
      <xdr:nvGrpSpPr>
        <xdr:cNvPr id="2" name="그룹 1">
          <a:extLst>
            <a:ext uri="{FF2B5EF4-FFF2-40B4-BE49-F238E27FC236}">
              <a16:creationId xmlns:a16="http://schemas.microsoft.com/office/drawing/2014/main" id="{5CF7F172-BD87-4A3C-9586-77227CA1FC6D}"/>
            </a:ext>
          </a:extLst>
        </xdr:cNvPr>
        <xdr:cNvGrpSpPr/>
      </xdr:nvGrpSpPr>
      <xdr:grpSpPr>
        <a:xfrm>
          <a:off x="281940" y="114300"/>
          <a:ext cx="1236430" cy="3676649"/>
          <a:chOff x="198780" y="3669196"/>
          <a:chExt cx="1225829" cy="3826564"/>
        </a:xfrm>
      </xdr:grpSpPr>
      <xdr:sp macro="" textlink="">
        <xdr:nvSpPr>
          <xdr:cNvPr id="3" name="사각형: 둥근 모서리 2">
            <a:extLst>
              <a:ext uri="{FF2B5EF4-FFF2-40B4-BE49-F238E27FC236}">
                <a16:creationId xmlns:a16="http://schemas.microsoft.com/office/drawing/2014/main" id="{1C98480C-4EEF-D886-0BC1-BCFF264B8F0B}"/>
              </a:ext>
            </a:extLst>
          </xdr:cNvPr>
          <xdr:cNvSpPr/>
        </xdr:nvSpPr>
        <xdr:spPr>
          <a:xfrm rot="10800000">
            <a:off x="198780" y="4025348"/>
            <a:ext cx="1225823" cy="3470412"/>
          </a:xfrm>
          <a:prstGeom prst="roundRect">
            <a:avLst>
              <a:gd name="adj" fmla="val 14036"/>
            </a:avLst>
          </a:prstGeom>
          <a:gradFill flip="none" rotWithShape="1">
            <a:gsLst>
              <a:gs pos="100000">
                <a:srgbClr val="4F69FB"/>
              </a:gs>
              <a:gs pos="0">
                <a:srgbClr val="8774FD"/>
              </a:gs>
            </a:gsLst>
            <a:lin ang="13500000" scaled="1"/>
            <a:tileRect/>
          </a:gra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grpSp>
        <xdr:nvGrpSpPr>
          <xdr:cNvPr id="4" name="그룹 3">
            <a:extLst>
              <a:ext uri="{FF2B5EF4-FFF2-40B4-BE49-F238E27FC236}">
                <a16:creationId xmlns:a16="http://schemas.microsoft.com/office/drawing/2014/main" id="{DF845BC0-32FF-EF11-9E51-58DF4524581D}"/>
              </a:ext>
            </a:extLst>
          </xdr:cNvPr>
          <xdr:cNvGrpSpPr/>
        </xdr:nvGrpSpPr>
        <xdr:grpSpPr>
          <a:xfrm>
            <a:off x="447261" y="3669196"/>
            <a:ext cx="745434" cy="745434"/>
            <a:chOff x="438979" y="4861891"/>
            <a:chExt cx="745434" cy="745434"/>
          </a:xfrm>
        </xdr:grpSpPr>
        <xdr:sp macro="" textlink="">
          <xdr:nvSpPr>
            <xdr:cNvPr id="9" name="타원 8">
              <a:extLst>
                <a:ext uri="{FF2B5EF4-FFF2-40B4-BE49-F238E27FC236}">
                  <a16:creationId xmlns:a16="http://schemas.microsoft.com/office/drawing/2014/main" id="{3306F405-220F-6E89-BA66-CC01EAC2C60A}"/>
                </a:ext>
              </a:extLst>
            </xdr:cNvPr>
            <xdr:cNvSpPr/>
          </xdr:nvSpPr>
          <xdr:spPr>
            <a:xfrm>
              <a:off x="438979" y="4861891"/>
              <a:ext cx="745434" cy="745434"/>
            </a:xfrm>
            <a:prstGeom prst="ellipse">
              <a:avLst/>
            </a:prstGeom>
            <a:gradFill flip="none" rotWithShape="1">
              <a:gsLst>
                <a:gs pos="100000">
                  <a:srgbClr val="4F69FB"/>
                </a:gs>
                <a:gs pos="0">
                  <a:srgbClr val="8774FD"/>
                </a:gs>
              </a:gsLst>
              <a:lin ang="13500000" scaled="1"/>
              <a:tileRect/>
            </a:gradFill>
            <a:ln w="28575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ko-KR" altLang="en-US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pic>
          <xdr:nvPicPr>
            <xdr:cNvPr id="10" name="그림 9" descr="만화 영화, 그래픽, 다채로움, 예술이(가) 표시된 사진&#10;&#10;자동 생성된 설명">
              <a:extLst>
                <a:ext uri="{FF2B5EF4-FFF2-40B4-BE49-F238E27FC236}">
                  <a16:creationId xmlns:a16="http://schemas.microsoft.com/office/drawing/2014/main" id="{7513BE54-4A92-6CA5-E8EC-DAC55510D37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01318" y="5024230"/>
              <a:ext cx="420756" cy="420756"/>
            </a:xfrm>
            <a:prstGeom prst="rect">
              <a:avLst/>
            </a:prstGeom>
          </xdr:spPr>
        </xdr:pic>
      </xdr:grp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7F56BDBF-901C-CA14-29C4-98B99F365878}"/>
              </a:ext>
            </a:extLst>
          </xdr:cNvPr>
          <xdr:cNvSpPr txBox="1"/>
        </xdr:nvSpPr>
        <xdr:spPr>
          <a:xfrm>
            <a:off x="266121" y="4373218"/>
            <a:ext cx="1067378" cy="9607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ko-KR" altLang="en-US" sz="1000" b="1" i="0" u="none" strike="noStrike">
                <a:solidFill>
                  <a:schemeClr val="bg1"/>
                </a:solidFill>
                <a:latin typeface="+mj-ea"/>
                <a:ea typeface="+mj-ea"/>
              </a:rPr>
              <a:t>진짜 실무에</a:t>
            </a:r>
            <a:r>
              <a:rPr lang="en-US" altLang="ko-KR" sz="1000" b="1" i="0" u="none" strike="noStrike" baseline="0">
                <a:solidFill>
                  <a:schemeClr val="bg1"/>
                </a:solidFill>
                <a:latin typeface="+mj-ea"/>
                <a:ea typeface="+mj-ea"/>
              </a:rPr>
              <a:t> </a:t>
            </a:r>
            <a:r>
              <a:rPr lang="ko-KR" altLang="en-US" sz="1000" b="1" i="0" u="none" strike="noStrike" baseline="0">
                <a:solidFill>
                  <a:schemeClr val="bg1"/>
                </a:solidFill>
                <a:latin typeface="+mj-ea"/>
                <a:ea typeface="+mj-ea"/>
              </a:rPr>
              <a:t>꼭</a:t>
            </a:r>
            <a:endParaRPr lang="en-US" altLang="ko-KR" sz="1000" b="1" i="0" u="none" strike="noStrike" baseline="0">
              <a:solidFill>
                <a:schemeClr val="bg1"/>
              </a:solidFill>
              <a:latin typeface="+mj-ea"/>
              <a:ea typeface="+mj-ea"/>
            </a:endParaRPr>
          </a:p>
          <a:p>
            <a:pPr algn="ctr"/>
            <a:r>
              <a:rPr lang="ko-KR" altLang="en-US" sz="1000" b="1" i="0" u="none" strike="noStrike">
                <a:solidFill>
                  <a:schemeClr val="bg1"/>
                </a:solidFill>
                <a:latin typeface="+mj-ea"/>
                <a:ea typeface="+mj-ea"/>
              </a:rPr>
              <a:t>필요한 엑셀</a:t>
            </a:r>
            <a:endParaRPr lang="en-US" altLang="ko-KR" sz="1000" b="1" i="0" u="none" strike="noStrike">
              <a:solidFill>
                <a:schemeClr val="bg1"/>
              </a:solidFill>
              <a:latin typeface="+mj-ea"/>
              <a:ea typeface="+mj-ea"/>
            </a:endParaRPr>
          </a:p>
          <a:p>
            <a:pPr algn="ctr"/>
            <a:r>
              <a:rPr lang="ko-KR" altLang="en-US" sz="1000" b="1" i="0" u="none" strike="noStrike">
                <a:solidFill>
                  <a:schemeClr val="bg1"/>
                </a:solidFill>
                <a:latin typeface="+mj-ea"/>
                <a:ea typeface="+mj-ea"/>
              </a:rPr>
              <a:t>여기에 다 있다</a:t>
            </a:r>
            <a:r>
              <a:rPr lang="en-US" altLang="ko-KR" sz="1000" b="1" i="0" u="none" strike="noStrike">
                <a:solidFill>
                  <a:schemeClr val="bg1"/>
                </a:solidFill>
                <a:latin typeface="+mj-ea"/>
                <a:ea typeface="+mj-ea"/>
              </a:rPr>
              <a:t>!</a:t>
            </a:r>
          </a:p>
        </xdr:txBody>
      </xdr:sp>
      <xdr:pic>
        <xdr:nvPicPr>
          <xdr:cNvPr id="6" name="그림 5">
            <a:extLst>
              <a:ext uri="{FF2B5EF4-FFF2-40B4-BE49-F238E27FC236}">
                <a16:creationId xmlns:a16="http://schemas.microsoft.com/office/drawing/2014/main" id="{C3834867-BCFD-D281-B0EE-D2256A0A6F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2608" y="5325718"/>
            <a:ext cx="279952" cy="279952"/>
          </a:xfrm>
          <a:prstGeom prst="rect">
            <a:avLst/>
          </a:prstGeom>
        </xdr:spPr>
      </xdr:pic>
      <xdr:pic>
        <xdr:nvPicPr>
          <xdr:cNvPr id="7" name="그림 6" descr="텍스트, 로고, 라벨, 반창고이(가) 표시된 사진&#10;&#10;자동 생성된 설명">
            <a:extLst>
              <a:ext uri="{FF2B5EF4-FFF2-40B4-BE49-F238E27FC236}">
                <a16:creationId xmlns:a16="http://schemas.microsoft.com/office/drawing/2014/main" id="{948C80C5-E4F9-7233-E7B6-F87FE07E8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3630" y="5676899"/>
            <a:ext cx="1200979" cy="1200979"/>
          </a:xfrm>
          <a:prstGeom prst="rect">
            <a:avLst/>
          </a:prstGeom>
        </xdr:spPr>
      </xdr:pic>
      <xdr:sp macro="" textlink="">
        <xdr:nvSpPr>
          <xdr:cNvPr id="8" name="사각형: 둥근 모서리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D75B515-E2B6-E203-AC32-C10595B3DAA8}"/>
              </a:ext>
            </a:extLst>
          </xdr:cNvPr>
          <xdr:cNvSpPr/>
        </xdr:nvSpPr>
        <xdr:spPr>
          <a:xfrm>
            <a:off x="299739" y="6955642"/>
            <a:ext cx="1007168" cy="353324"/>
          </a:xfrm>
          <a:prstGeom prst="roundRect">
            <a:avLst>
              <a:gd name="adj" fmla="val 14036"/>
            </a:avLst>
          </a:prstGeom>
          <a:gradFill flip="none" rotWithShape="1">
            <a:gsLst>
              <a:gs pos="100000">
                <a:srgbClr val="6B6FFC"/>
              </a:gs>
              <a:gs pos="0">
                <a:srgbClr val="8F75FD"/>
              </a:gs>
            </a:gsLst>
            <a:lin ang="13500000" scaled="1"/>
            <a:tileRect/>
          </a:gradFill>
          <a:ln w="635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 b="1"/>
              <a:t>교재 구매하기</a:t>
            </a:r>
          </a:p>
        </xdr:txBody>
      </xdr:sp>
    </xdr:grpSp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4BDB18-DF54-4F81-B11A-3C42C78838F6}" name="보충강의73" displayName="보충강의73" ref="D2:F7" totalsRowShown="0">
  <autoFilter ref="D2:F7" xr:uid="{EBCD116C-A60B-4E46-A22F-E64B264C5058}"/>
  <tableColumns count="3">
    <tableColumn id="4" xr3:uid="{56F4E9AA-E240-4E93-8ACF-0ECF15225FE4}" name="제목" dataDxfId="1"/>
    <tableColumn id="2" xr3:uid="{72CB5625-5A4E-4542-8192-1F0CBB88C4EC}" name="링크" dataDxfId="0" dataCellStyle="하이퍼링크">
      <calculatedColumnFormula>HYPERLINK(F3,"바로가기")</calculatedColumnFormula>
    </tableColumn>
    <tableColumn id="3" xr3:uid="{C7635C5F-FA80-42C3-8C82-85A8916D24EC}" name="링크텍스트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80F23-B654-4D2F-858A-B9D35DE1B161}">
  <sheetPr codeName="Sheet1">
    <pageSetUpPr autoPageBreaks="0" fitToPage="1"/>
  </sheetPr>
  <dimension ref="B1:J28"/>
  <sheetViews>
    <sheetView tabSelected="1" view="pageLayout" zoomScale="70" zoomScaleNormal="115" zoomScaleSheetLayoutView="100" zoomScalePageLayoutView="70" workbookViewId="0"/>
  </sheetViews>
  <sheetFormatPr defaultColWidth="12.19921875" defaultRowHeight="39.6" customHeight="1" x14ac:dyDescent="0.4"/>
  <cols>
    <col min="1" max="1" width="1.3984375" style="14" customWidth="1"/>
    <col min="2" max="2" width="32.3984375" style="14" customWidth="1"/>
    <col min="3" max="4" width="12.8984375" style="14" customWidth="1"/>
    <col min="5" max="8" width="16.69921875" style="14" customWidth="1"/>
    <col min="9" max="9" width="1.3984375" style="14" customWidth="1"/>
    <col min="10" max="16384" width="12.19921875" style="14"/>
  </cols>
  <sheetData>
    <row r="1" spans="2:10" ht="7.5" customHeight="1" x14ac:dyDescent="0.4"/>
    <row r="2" spans="2:10" ht="55.5" customHeight="1" x14ac:dyDescent="0.4">
      <c r="B2" s="42" t="s">
        <v>72</v>
      </c>
      <c r="C2" s="42"/>
      <c r="D2" s="42"/>
      <c r="E2" s="42"/>
      <c r="F2" s="42"/>
      <c r="G2" s="42"/>
      <c r="H2" s="42"/>
    </row>
    <row r="3" spans="2:10" ht="11.4" customHeight="1" x14ac:dyDescent="0.4">
      <c r="B3"/>
      <c r="G3"/>
    </row>
    <row r="4" spans="2:10" ht="39.6" customHeight="1" x14ac:dyDescent="0.4">
      <c r="B4" s="28" t="s">
        <v>73</v>
      </c>
      <c r="C4" s="43" t="s">
        <v>94</v>
      </c>
      <c r="D4" s="43"/>
      <c r="E4" s="24" t="s">
        <v>1</v>
      </c>
      <c r="F4" s="44" t="s">
        <v>76</v>
      </c>
      <c r="G4" s="44"/>
      <c r="H4" s="44"/>
    </row>
    <row r="5" spans="2:10" ht="39.6" customHeight="1" x14ac:dyDescent="0.4">
      <c r="B5" s="45" t="s">
        <v>96</v>
      </c>
      <c r="C5" s="45"/>
      <c r="D5" s="45"/>
      <c r="E5" s="24" t="s">
        <v>2</v>
      </c>
      <c r="F5" s="21" t="s">
        <v>77</v>
      </c>
      <c r="G5" s="24" t="s">
        <v>3</v>
      </c>
      <c r="H5" s="21" t="s">
        <v>78</v>
      </c>
    </row>
    <row r="6" spans="2:10" ht="39.6" customHeight="1" x14ac:dyDescent="0.4">
      <c r="B6" s="46" t="s">
        <v>33</v>
      </c>
      <c r="C6" s="46"/>
      <c r="D6" s="16" t="s">
        <v>74</v>
      </c>
      <c r="E6" s="24" t="s">
        <v>4</v>
      </c>
      <c r="F6" s="47" t="s">
        <v>79</v>
      </c>
      <c r="G6" s="47"/>
      <c r="H6" s="47"/>
    </row>
    <row r="7" spans="2:10" ht="39.6" customHeight="1" x14ac:dyDescent="0.4">
      <c r="B7" s="41" t="s">
        <v>75</v>
      </c>
      <c r="C7" s="41"/>
      <c r="D7" s="41"/>
      <c r="E7" s="27" t="s">
        <v>5</v>
      </c>
      <c r="F7" s="25" t="s">
        <v>80</v>
      </c>
      <c r="G7" s="24" t="s">
        <v>6</v>
      </c>
      <c r="H7" s="21" t="s">
        <v>81</v>
      </c>
      <c r="J7"/>
    </row>
    <row r="8" spans="2:10" ht="24" customHeight="1" x14ac:dyDescent="0.4">
      <c r="B8" s="25" t="s">
        <v>60</v>
      </c>
      <c r="C8" s="31">
        <f>SUM(F28:G28)</f>
        <v>907622</v>
      </c>
      <c r="D8" s="32"/>
      <c r="E8" s="32"/>
      <c r="F8" s="33"/>
      <c r="G8" s="37">
        <f>SUM(F28:G28)</f>
        <v>907622</v>
      </c>
      <c r="H8" s="38"/>
    </row>
    <row r="9" spans="2:10" ht="24" customHeight="1" x14ac:dyDescent="0.4">
      <c r="B9" s="26" t="s">
        <v>7</v>
      </c>
      <c r="C9" s="34"/>
      <c r="D9" s="35"/>
      <c r="E9" s="35"/>
      <c r="F9" s="36"/>
      <c r="G9" s="39"/>
      <c r="H9" s="40"/>
    </row>
    <row r="10" spans="2:10" s="15" customFormat="1" ht="42.75" customHeight="1" x14ac:dyDescent="0.4">
      <c r="B10" s="24" t="s">
        <v>8</v>
      </c>
      <c r="C10" s="24" t="s">
        <v>9</v>
      </c>
      <c r="D10" s="24" t="s">
        <v>10</v>
      </c>
      <c r="E10" s="24" t="s">
        <v>11</v>
      </c>
      <c r="F10" s="24" t="s">
        <v>12</v>
      </c>
      <c r="G10" s="24" t="s">
        <v>13</v>
      </c>
      <c r="H10" s="24" t="s">
        <v>14</v>
      </c>
    </row>
    <row r="11" spans="2:10" ht="42.75" customHeight="1" x14ac:dyDescent="0.4">
      <c r="B11" s="21" t="s">
        <v>95</v>
      </c>
      <c r="C11" s="21" t="s">
        <v>56</v>
      </c>
      <c r="D11" s="21">
        <v>18</v>
      </c>
      <c r="E11" s="29">
        <v>14980</v>
      </c>
      <c r="F11" s="29">
        <v>245127</v>
      </c>
      <c r="G11" s="29">
        <v>24513</v>
      </c>
      <c r="H11" s="22"/>
    </row>
    <row r="12" spans="2:10" ht="42.75" customHeight="1" x14ac:dyDescent="0.4">
      <c r="B12" s="21" t="s">
        <v>44</v>
      </c>
      <c r="C12" s="21" t="s">
        <v>45</v>
      </c>
      <c r="D12" s="21">
        <v>26</v>
      </c>
      <c r="E12" s="29">
        <v>9980</v>
      </c>
      <c r="F12" s="29">
        <v>235891</v>
      </c>
      <c r="G12" s="29">
        <v>23590</v>
      </c>
      <c r="H12" s="22"/>
    </row>
    <row r="13" spans="2:10" ht="42.75" customHeight="1" x14ac:dyDescent="0.4">
      <c r="B13" s="21" t="s">
        <v>46</v>
      </c>
      <c r="C13" s="21" t="s">
        <v>45</v>
      </c>
      <c r="D13" s="21">
        <v>16</v>
      </c>
      <c r="E13" s="29">
        <v>11900</v>
      </c>
      <c r="F13" s="29">
        <v>173091</v>
      </c>
      <c r="G13" s="29">
        <v>17310</v>
      </c>
      <c r="H13" s="22"/>
    </row>
    <row r="14" spans="2:10" ht="42.75" customHeight="1" x14ac:dyDescent="0.4">
      <c r="B14" s="21" t="s">
        <v>35</v>
      </c>
      <c r="C14" s="21" t="s">
        <v>45</v>
      </c>
      <c r="D14" s="21">
        <v>19</v>
      </c>
      <c r="E14" s="29">
        <v>9900</v>
      </c>
      <c r="F14" s="29">
        <v>171000</v>
      </c>
      <c r="G14" s="29">
        <v>17100</v>
      </c>
      <c r="H14" s="22"/>
    </row>
    <row r="15" spans="2:10" ht="42.75" customHeight="1" x14ac:dyDescent="0.4">
      <c r="B15" s="21"/>
      <c r="C15" s="21"/>
      <c r="D15" s="21"/>
      <c r="E15" s="29"/>
      <c r="F15" s="29"/>
      <c r="G15" s="29"/>
      <c r="H15" s="22"/>
    </row>
    <row r="16" spans="2:10" ht="42.75" customHeight="1" x14ac:dyDescent="0.4">
      <c r="B16" s="21"/>
      <c r="C16" s="21"/>
      <c r="D16" s="21"/>
      <c r="E16" s="29"/>
      <c r="F16" s="29"/>
      <c r="G16" s="29"/>
      <c r="H16" s="22"/>
    </row>
    <row r="17" spans="2:8" ht="42.75" customHeight="1" x14ac:dyDescent="0.4">
      <c r="B17" s="21"/>
      <c r="C17" s="21"/>
      <c r="D17" s="21"/>
      <c r="E17" s="29"/>
      <c r="F17" s="29"/>
      <c r="G17" s="29"/>
      <c r="H17" s="22"/>
    </row>
    <row r="18" spans="2:8" ht="42.75" customHeight="1" x14ac:dyDescent="0.4">
      <c r="B18" s="21"/>
      <c r="C18" s="21"/>
      <c r="D18" s="21"/>
      <c r="E18" s="29"/>
      <c r="F18" s="29"/>
      <c r="G18" s="29"/>
      <c r="H18" s="22"/>
    </row>
    <row r="19" spans="2:8" ht="42.75" customHeight="1" x14ac:dyDescent="0.4">
      <c r="B19" s="21"/>
      <c r="C19" s="21"/>
      <c r="D19" s="21"/>
      <c r="E19" s="29"/>
      <c r="F19" s="29"/>
      <c r="G19" s="29"/>
      <c r="H19" s="22"/>
    </row>
    <row r="20" spans="2:8" ht="42.75" customHeight="1" x14ac:dyDescent="0.4">
      <c r="B20" s="21"/>
      <c r="C20" s="21"/>
      <c r="D20" s="21"/>
      <c r="E20" s="29"/>
      <c r="F20" s="29"/>
      <c r="G20" s="29"/>
      <c r="H20" s="22"/>
    </row>
    <row r="21" spans="2:8" ht="42.75" customHeight="1" x14ac:dyDescent="0.4">
      <c r="B21" s="21"/>
      <c r="C21" s="21"/>
      <c r="D21" s="21"/>
      <c r="E21" s="29"/>
      <c r="F21" s="29"/>
      <c r="G21" s="29"/>
      <c r="H21" s="22"/>
    </row>
    <row r="22" spans="2:8" ht="42.75" customHeight="1" x14ac:dyDescent="0.4">
      <c r="B22" s="21"/>
      <c r="C22" s="21"/>
      <c r="D22" s="21"/>
      <c r="E22" s="29"/>
      <c r="F22" s="29"/>
      <c r="G22" s="29"/>
      <c r="H22" s="22"/>
    </row>
    <row r="23" spans="2:8" ht="42.75" customHeight="1" x14ac:dyDescent="0.4">
      <c r="B23" s="21"/>
      <c r="C23" s="21"/>
      <c r="D23" s="21"/>
      <c r="E23" s="29"/>
      <c r="F23" s="29"/>
      <c r="G23" s="29"/>
      <c r="H23" s="22"/>
    </row>
    <row r="24" spans="2:8" ht="42.75" customHeight="1" x14ac:dyDescent="0.4">
      <c r="B24" s="21"/>
      <c r="C24" s="21"/>
      <c r="D24" s="21"/>
      <c r="E24" s="29"/>
      <c r="F24" s="29"/>
      <c r="G24" s="29"/>
      <c r="H24" s="22"/>
    </row>
    <row r="25" spans="2:8" ht="42.75" customHeight="1" x14ac:dyDescent="0.4">
      <c r="B25" s="21"/>
      <c r="C25" s="21"/>
      <c r="D25" s="21"/>
      <c r="E25" s="29"/>
      <c r="F25" s="29"/>
      <c r="G25" s="29"/>
      <c r="H25" s="22"/>
    </row>
    <row r="26" spans="2:8" ht="42.75" customHeight="1" x14ac:dyDescent="0.4">
      <c r="B26" s="21"/>
      <c r="C26" s="21"/>
      <c r="D26" s="21"/>
      <c r="E26" s="29"/>
      <c r="F26" s="29"/>
      <c r="G26" s="29"/>
      <c r="H26" s="22"/>
    </row>
    <row r="27" spans="2:8" ht="42.75" customHeight="1" x14ac:dyDescent="0.4">
      <c r="B27" s="21"/>
      <c r="C27" s="21"/>
      <c r="D27" s="21"/>
      <c r="E27" s="29"/>
      <c r="F27" s="29"/>
      <c r="G27" s="29"/>
      <c r="H27" s="22"/>
    </row>
    <row r="28" spans="2:8" ht="42.75" customHeight="1" x14ac:dyDescent="0.4">
      <c r="B28" s="23" t="s">
        <v>83</v>
      </c>
      <c r="C28" s="24"/>
      <c r="D28" s="30">
        <f>SUM(D11:D27)</f>
        <v>79</v>
      </c>
      <c r="E28" s="30">
        <f t="shared" ref="E28:G28" si="0">SUM(E11:E27)</f>
        <v>46760</v>
      </c>
      <c r="F28" s="30">
        <f t="shared" si="0"/>
        <v>825109</v>
      </c>
      <c r="G28" s="30">
        <f t="shared" si="0"/>
        <v>82513</v>
      </c>
      <c r="H28" s="23"/>
    </row>
  </sheetData>
  <mergeCells count="9">
    <mergeCell ref="C8:F9"/>
    <mergeCell ref="G8:H9"/>
    <mergeCell ref="B7:D7"/>
    <mergeCell ref="B2:H2"/>
    <mergeCell ref="C4:D4"/>
    <mergeCell ref="F4:H4"/>
    <mergeCell ref="B5:D5"/>
    <mergeCell ref="B6:C6"/>
    <mergeCell ref="F6:H6"/>
  </mergeCells>
  <phoneticPr fontId="1" type="noConversion"/>
  <conditionalFormatting sqref="C4:D4 B5:D5 B6:C6">
    <cfRule type="containsBlanks" dxfId="2" priority="1">
      <formula>LEN(TRIM(B4))=0</formula>
    </cfRule>
  </conditionalFormatting>
  <pageMargins left="0.7" right="0.7" top="0.75" bottom="0.75" header="0.3" footer="0.3"/>
  <pageSetup paperSize="9" scale="63" fitToHeight="0" orientation="portrait" r:id="rId1"/>
  <headerFooter>
    <oddHeader>&amp;C
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2ECA-4985-4E06-95BC-F9E12DBF6F30}">
  <sheetPr codeName="Sheet2"/>
  <dimension ref="A1:T51"/>
  <sheetViews>
    <sheetView zoomScale="145" zoomScaleNormal="145" workbookViewId="0"/>
  </sheetViews>
  <sheetFormatPr defaultColWidth="8.69921875" defaultRowHeight="19.95" customHeight="1" x14ac:dyDescent="0.4"/>
  <cols>
    <col min="1" max="3" width="12.3984375" style="3" customWidth="1"/>
    <col min="4" max="4" width="22.69921875" style="3" customWidth="1"/>
    <col min="5" max="6" width="12.19921875" style="3" customWidth="1"/>
    <col min="7" max="9" width="12.19921875" style="8" customWidth="1"/>
    <col min="10" max="10" width="12.19921875" style="3" customWidth="1"/>
    <col min="11" max="11" width="8.69921875" style="3"/>
    <col min="12" max="12" width="12.19921875" style="3" customWidth="1"/>
    <col min="13" max="13" width="8.69921875" style="3"/>
    <col min="14" max="20" width="12.09765625" style="3" customWidth="1"/>
    <col min="21" max="16384" width="8.69921875" style="3"/>
  </cols>
  <sheetData>
    <row r="1" spans="1:20" ht="19.95" customHeight="1" x14ac:dyDescent="0.4">
      <c r="A1" s="1" t="s">
        <v>18</v>
      </c>
      <c r="B1" s="1" t="s">
        <v>19</v>
      </c>
      <c r="C1" s="1" t="s">
        <v>20</v>
      </c>
      <c r="D1" s="1" t="s">
        <v>8</v>
      </c>
      <c r="E1" s="1" t="s">
        <v>9</v>
      </c>
      <c r="F1" s="1" t="s">
        <v>10</v>
      </c>
      <c r="G1" s="2" t="s">
        <v>11</v>
      </c>
      <c r="H1" s="2" t="s">
        <v>12</v>
      </c>
      <c r="I1" s="2" t="s">
        <v>13</v>
      </c>
      <c r="J1" s="1" t="s">
        <v>14</v>
      </c>
      <c r="L1" s="4" t="s">
        <v>18</v>
      </c>
      <c r="N1" s="1" t="s">
        <v>8</v>
      </c>
      <c r="O1" s="1" t="s">
        <v>9</v>
      </c>
      <c r="P1" s="1" t="s">
        <v>10</v>
      </c>
      <c r="Q1" s="2" t="s">
        <v>11</v>
      </c>
      <c r="R1" s="2" t="s">
        <v>12</v>
      </c>
      <c r="S1" s="2" t="s">
        <v>13</v>
      </c>
      <c r="T1" s="1" t="s">
        <v>14</v>
      </c>
    </row>
    <row r="2" spans="1:20" ht="19.95" customHeight="1" x14ac:dyDescent="0.4">
      <c r="A2" s="3" t="s">
        <v>21</v>
      </c>
      <c r="B2" s="5">
        <v>45597</v>
      </c>
      <c r="C2" s="3" t="s">
        <v>22</v>
      </c>
      <c r="D2" s="6" t="s">
        <v>23</v>
      </c>
      <c r="E2" s="6" t="s">
        <v>24</v>
      </c>
      <c r="F2" s="3">
        <v>17</v>
      </c>
      <c r="G2" s="7">
        <v>10980</v>
      </c>
      <c r="H2" s="8">
        <v>169691</v>
      </c>
      <c r="I2" s="8">
        <v>16970</v>
      </c>
      <c r="L2" s="9" t="str">
        <f>견적서!C4</f>
        <v>PO-00002</v>
      </c>
      <c r="N2" s="6" t="s">
        <v>37</v>
      </c>
      <c r="O2" s="6" t="s">
        <v>26</v>
      </c>
      <c r="P2" s="3">
        <v>18</v>
      </c>
      <c r="Q2" s="7">
        <v>14980</v>
      </c>
      <c r="R2" s="8">
        <v>245127</v>
      </c>
      <c r="S2" s="8">
        <v>24513</v>
      </c>
    </row>
    <row r="3" spans="1:20" ht="19.95" customHeight="1" x14ac:dyDescent="0.4">
      <c r="A3" s="3" t="s">
        <v>21</v>
      </c>
      <c r="B3" s="5">
        <v>45597</v>
      </c>
      <c r="C3" s="3" t="s">
        <v>22</v>
      </c>
      <c r="D3" s="6" t="s">
        <v>27</v>
      </c>
      <c r="E3" s="6" t="s">
        <v>24</v>
      </c>
      <c r="F3" s="3">
        <v>30</v>
      </c>
      <c r="G3" s="7">
        <v>12980</v>
      </c>
      <c r="H3" s="8">
        <v>354000</v>
      </c>
      <c r="I3" s="8">
        <v>35400</v>
      </c>
      <c r="N3" s="6" t="s">
        <v>34</v>
      </c>
      <c r="O3" s="6" t="s">
        <v>24</v>
      </c>
      <c r="P3" s="3">
        <v>26</v>
      </c>
      <c r="Q3" s="7">
        <v>9980</v>
      </c>
      <c r="R3" s="8">
        <v>235891</v>
      </c>
      <c r="S3" s="8">
        <v>23590</v>
      </c>
    </row>
    <row r="4" spans="1:20" ht="19.95" customHeight="1" x14ac:dyDescent="0.4">
      <c r="A4" s="3" t="s">
        <v>21</v>
      </c>
      <c r="B4" s="5">
        <v>45597</v>
      </c>
      <c r="C4" s="3" t="s">
        <v>22</v>
      </c>
      <c r="D4" s="6" t="s">
        <v>29</v>
      </c>
      <c r="E4" s="6" t="s">
        <v>30</v>
      </c>
      <c r="F4" s="3">
        <v>16</v>
      </c>
      <c r="G4" s="7">
        <v>8980</v>
      </c>
      <c r="H4" s="8">
        <v>130618</v>
      </c>
      <c r="I4" s="8">
        <v>13062</v>
      </c>
      <c r="N4" s="6" t="s">
        <v>36</v>
      </c>
      <c r="O4" s="6" t="s">
        <v>24</v>
      </c>
      <c r="P4" s="3">
        <v>16</v>
      </c>
      <c r="Q4" s="7">
        <v>11900</v>
      </c>
      <c r="R4" s="8">
        <v>173091</v>
      </c>
      <c r="S4" s="8">
        <v>17310</v>
      </c>
    </row>
    <row r="5" spans="1:20" ht="19.95" customHeight="1" x14ac:dyDescent="0.4">
      <c r="A5" s="3" t="s">
        <v>21</v>
      </c>
      <c r="B5" s="5">
        <v>45597</v>
      </c>
      <c r="C5" s="3" t="s">
        <v>22</v>
      </c>
      <c r="D5" s="6" t="s">
        <v>31</v>
      </c>
      <c r="E5" s="6" t="s">
        <v>30</v>
      </c>
      <c r="F5" s="3">
        <v>10</v>
      </c>
      <c r="G5" s="7">
        <v>14900</v>
      </c>
      <c r="H5" s="8">
        <v>135455</v>
      </c>
      <c r="I5" s="8">
        <v>13546</v>
      </c>
      <c r="L5" s="10"/>
      <c r="N5" s="6" t="s">
        <v>35</v>
      </c>
      <c r="O5" s="6" t="s">
        <v>24</v>
      </c>
      <c r="P5" s="3">
        <v>19</v>
      </c>
      <c r="Q5" s="7">
        <v>9900</v>
      </c>
      <c r="R5" s="8">
        <v>171000</v>
      </c>
      <c r="S5" s="8">
        <v>17100</v>
      </c>
    </row>
    <row r="6" spans="1:20" ht="19.95" customHeight="1" x14ac:dyDescent="0.4">
      <c r="A6" s="3" t="s">
        <v>32</v>
      </c>
      <c r="B6" s="5">
        <v>45599</v>
      </c>
      <c r="C6" s="3" t="s">
        <v>33</v>
      </c>
      <c r="D6" s="6" t="s">
        <v>34</v>
      </c>
      <c r="E6" s="6" t="s">
        <v>24</v>
      </c>
      <c r="F6" s="3">
        <v>26</v>
      </c>
      <c r="G6" s="7">
        <v>9980</v>
      </c>
      <c r="H6" s="8">
        <v>235891</v>
      </c>
      <c r="I6" s="8">
        <v>23590</v>
      </c>
      <c r="L6" s="10"/>
      <c r="N6" s="6"/>
      <c r="O6" s="6"/>
      <c r="Q6" s="7"/>
      <c r="R6" s="8"/>
      <c r="S6" s="8"/>
    </row>
    <row r="7" spans="1:20" ht="19.95" customHeight="1" x14ac:dyDescent="0.4">
      <c r="A7" s="3" t="s">
        <v>32</v>
      </c>
      <c r="B7" s="5">
        <v>45599</v>
      </c>
      <c r="C7" s="3" t="s">
        <v>33</v>
      </c>
      <c r="D7" s="6" t="s">
        <v>35</v>
      </c>
      <c r="E7" s="6" t="s">
        <v>24</v>
      </c>
      <c r="F7" s="3">
        <v>19</v>
      </c>
      <c r="G7" s="7">
        <v>9900</v>
      </c>
      <c r="H7" s="8">
        <v>171000</v>
      </c>
      <c r="I7" s="8">
        <v>17100</v>
      </c>
      <c r="L7" s="10"/>
      <c r="Q7" s="8"/>
      <c r="R7" s="8"/>
      <c r="S7" s="8"/>
    </row>
    <row r="8" spans="1:20" ht="19.95" customHeight="1" x14ac:dyDescent="0.4">
      <c r="A8" s="3" t="s">
        <v>32</v>
      </c>
      <c r="B8" s="5">
        <v>45599</v>
      </c>
      <c r="C8" s="3" t="s">
        <v>33</v>
      </c>
      <c r="D8" s="6" t="s">
        <v>36</v>
      </c>
      <c r="E8" s="6" t="s">
        <v>24</v>
      </c>
      <c r="F8" s="3">
        <v>16</v>
      </c>
      <c r="G8" s="7">
        <v>11900</v>
      </c>
      <c r="H8" s="8">
        <v>173091</v>
      </c>
      <c r="I8" s="8">
        <v>17310</v>
      </c>
      <c r="L8" s="10"/>
      <c r="N8" s="6"/>
      <c r="O8" s="6"/>
      <c r="Q8" s="7"/>
      <c r="R8" s="8"/>
      <c r="S8" s="8"/>
    </row>
    <row r="9" spans="1:20" ht="19.95" customHeight="1" x14ac:dyDescent="0.4">
      <c r="A9" s="3" t="s">
        <v>32</v>
      </c>
      <c r="B9" s="5">
        <v>45599</v>
      </c>
      <c r="C9" s="3" t="s">
        <v>33</v>
      </c>
      <c r="D9" s="6" t="s">
        <v>37</v>
      </c>
      <c r="E9" s="6" t="s">
        <v>26</v>
      </c>
      <c r="F9" s="3">
        <v>18</v>
      </c>
      <c r="G9" s="7">
        <v>14980</v>
      </c>
      <c r="H9" s="8">
        <v>245127</v>
      </c>
      <c r="I9" s="8">
        <v>24513</v>
      </c>
      <c r="L9" s="10"/>
      <c r="Q9" s="8"/>
      <c r="R9" s="8"/>
      <c r="S9" s="8"/>
    </row>
    <row r="10" spans="1:20" ht="19.95" customHeight="1" x14ac:dyDescent="0.4">
      <c r="A10" s="3" t="s">
        <v>0</v>
      </c>
      <c r="B10" s="5">
        <v>45600</v>
      </c>
      <c r="C10" s="3" t="s">
        <v>38</v>
      </c>
      <c r="D10" s="6" t="s">
        <v>25</v>
      </c>
      <c r="E10" s="6" t="s">
        <v>26</v>
      </c>
      <c r="F10" s="3">
        <v>8</v>
      </c>
      <c r="G10" s="7">
        <v>14980</v>
      </c>
      <c r="H10" s="8">
        <v>108945</v>
      </c>
      <c r="I10" s="8">
        <v>10895</v>
      </c>
      <c r="L10" s="10"/>
      <c r="Q10" s="8"/>
      <c r="R10" s="8"/>
      <c r="S10" s="8"/>
    </row>
    <row r="11" spans="1:20" ht="19.95" customHeight="1" x14ac:dyDescent="0.4">
      <c r="A11" s="3" t="s">
        <v>0</v>
      </c>
      <c r="B11" s="5">
        <v>45600</v>
      </c>
      <c r="C11" s="3" t="s">
        <v>38</v>
      </c>
      <c r="D11" s="6" t="s">
        <v>28</v>
      </c>
      <c r="E11" s="6" t="s">
        <v>24</v>
      </c>
      <c r="F11" s="3">
        <v>28</v>
      </c>
      <c r="G11" s="7">
        <v>35600</v>
      </c>
      <c r="H11" s="8">
        <v>906182</v>
      </c>
      <c r="I11" s="8">
        <v>90619</v>
      </c>
      <c r="L11" s="10"/>
      <c r="Q11" s="8"/>
      <c r="R11" s="8"/>
      <c r="S11" s="8"/>
    </row>
    <row r="12" spans="1:20" ht="19.95" customHeight="1" x14ac:dyDescent="0.4">
      <c r="A12" s="3" t="s">
        <v>0</v>
      </c>
      <c r="B12" s="5">
        <v>45600</v>
      </c>
      <c r="C12" s="3" t="s">
        <v>38</v>
      </c>
      <c r="D12" s="3" t="s">
        <v>17</v>
      </c>
      <c r="E12" s="3" t="s">
        <v>26</v>
      </c>
      <c r="F12" s="3">
        <v>21</v>
      </c>
      <c r="G12" s="8">
        <v>7000</v>
      </c>
      <c r="H12" s="8">
        <v>133636</v>
      </c>
      <c r="I12" s="8">
        <v>13364</v>
      </c>
      <c r="Q12" s="8"/>
      <c r="R12" s="8"/>
      <c r="S12" s="8"/>
    </row>
    <row r="13" spans="1:20" ht="19.95" customHeight="1" x14ac:dyDescent="0.4">
      <c r="A13" s="3" t="s">
        <v>0</v>
      </c>
      <c r="B13" s="5">
        <v>45600</v>
      </c>
      <c r="C13" s="3" t="s">
        <v>38</v>
      </c>
      <c r="D13" s="3" t="s">
        <v>15</v>
      </c>
      <c r="E13" s="3" t="s">
        <v>30</v>
      </c>
      <c r="F13" s="3">
        <v>22</v>
      </c>
      <c r="G13" s="8">
        <v>5000</v>
      </c>
      <c r="H13" s="8">
        <v>100000</v>
      </c>
      <c r="I13" s="8">
        <v>10000</v>
      </c>
      <c r="Q13" s="8"/>
      <c r="R13" s="8"/>
      <c r="S13" s="8"/>
    </row>
    <row r="14" spans="1:20" ht="19.95" customHeight="1" x14ac:dyDescent="0.4">
      <c r="A14" s="3" t="s">
        <v>39</v>
      </c>
      <c r="B14" s="5">
        <v>45601</v>
      </c>
      <c r="C14" s="3" t="s">
        <v>40</v>
      </c>
      <c r="D14" s="6" t="s">
        <v>34</v>
      </c>
      <c r="E14" s="6" t="s">
        <v>24</v>
      </c>
      <c r="F14" s="3">
        <v>13</v>
      </c>
      <c r="G14" s="7">
        <v>9980</v>
      </c>
      <c r="H14" s="8">
        <v>117945</v>
      </c>
      <c r="I14" s="8">
        <v>11795</v>
      </c>
      <c r="Q14" s="8"/>
      <c r="R14" s="8"/>
      <c r="S14" s="8"/>
    </row>
    <row r="15" spans="1:20" ht="19.95" customHeight="1" x14ac:dyDescent="0.4">
      <c r="A15" s="3" t="s">
        <v>39</v>
      </c>
      <c r="B15" s="5">
        <v>45601</v>
      </c>
      <c r="C15" s="3" t="s">
        <v>40</v>
      </c>
      <c r="D15" s="6" t="s">
        <v>35</v>
      </c>
      <c r="E15" s="6" t="s">
        <v>24</v>
      </c>
      <c r="F15" s="3">
        <v>19</v>
      </c>
      <c r="G15" s="7">
        <v>9900</v>
      </c>
      <c r="H15" s="8">
        <v>171000</v>
      </c>
      <c r="I15" s="8">
        <v>17100</v>
      </c>
      <c r="Q15" s="8"/>
      <c r="R15" s="8"/>
      <c r="S15" s="8"/>
    </row>
    <row r="16" spans="1:20" ht="19.95" customHeight="1" x14ac:dyDescent="0.4">
      <c r="A16" s="3" t="s">
        <v>39</v>
      </c>
      <c r="B16" s="5">
        <v>45601</v>
      </c>
      <c r="C16" s="3" t="s">
        <v>40</v>
      </c>
      <c r="D16" s="6" t="s">
        <v>27</v>
      </c>
      <c r="E16" s="6" t="s">
        <v>24</v>
      </c>
      <c r="F16" s="3">
        <v>17</v>
      </c>
      <c r="G16" s="7">
        <v>12980</v>
      </c>
      <c r="H16" s="8">
        <v>200600</v>
      </c>
      <c r="I16" s="8">
        <v>20060</v>
      </c>
      <c r="Q16" s="8"/>
      <c r="R16" s="8"/>
      <c r="S16" s="8"/>
    </row>
    <row r="17" spans="1:19" ht="19.95" customHeight="1" x14ac:dyDescent="0.4">
      <c r="A17" s="3" t="s">
        <v>39</v>
      </c>
      <c r="B17" s="5">
        <v>45601</v>
      </c>
      <c r="C17" s="3" t="s">
        <v>40</v>
      </c>
      <c r="D17" s="6" t="s">
        <v>36</v>
      </c>
      <c r="E17" s="6" t="s">
        <v>24</v>
      </c>
      <c r="F17" s="3">
        <v>17</v>
      </c>
      <c r="G17" s="7">
        <v>11900</v>
      </c>
      <c r="H17" s="8">
        <v>183909</v>
      </c>
      <c r="I17" s="8">
        <v>18391</v>
      </c>
      <c r="Q17" s="8"/>
      <c r="R17" s="8"/>
      <c r="S17" s="8"/>
    </row>
    <row r="18" spans="1:19" ht="19.95" customHeight="1" x14ac:dyDescent="0.4">
      <c r="A18" s="3" t="s">
        <v>39</v>
      </c>
      <c r="B18" s="5">
        <v>45601</v>
      </c>
      <c r="C18" s="3" t="s">
        <v>40</v>
      </c>
      <c r="D18" s="6" t="s">
        <v>41</v>
      </c>
      <c r="E18" s="6" t="s">
        <v>24</v>
      </c>
      <c r="F18" s="3">
        <v>16</v>
      </c>
      <c r="G18" s="7">
        <v>34900</v>
      </c>
      <c r="H18" s="8">
        <v>507636</v>
      </c>
      <c r="I18" s="8">
        <v>50764</v>
      </c>
      <c r="Q18" s="8"/>
      <c r="R18" s="8"/>
      <c r="S18" s="8"/>
    </row>
    <row r="19" spans="1:19" ht="19.95" customHeight="1" x14ac:dyDescent="0.4">
      <c r="A19" s="3" t="s">
        <v>42</v>
      </c>
      <c r="B19" s="5">
        <v>45603</v>
      </c>
      <c r="C19" s="3" t="s">
        <v>43</v>
      </c>
      <c r="D19" s="3" t="s">
        <v>44</v>
      </c>
      <c r="E19" s="3" t="s">
        <v>45</v>
      </c>
      <c r="F19" s="3">
        <v>13</v>
      </c>
      <c r="G19" s="3">
        <v>9980</v>
      </c>
      <c r="H19" s="8">
        <v>117945</v>
      </c>
      <c r="I19" s="8">
        <v>11795</v>
      </c>
      <c r="J19" s="8"/>
      <c r="Q19" s="8"/>
      <c r="R19" s="8"/>
      <c r="S19" s="8"/>
    </row>
    <row r="20" spans="1:19" ht="19.95" customHeight="1" x14ac:dyDescent="0.4">
      <c r="A20" s="3" t="s">
        <v>42</v>
      </c>
      <c r="B20" s="5">
        <v>45603</v>
      </c>
      <c r="C20" s="3" t="s">
        <v>43</v>
      </c>
      <c r="D20" s="3" t="s">
        <v>35</v>
      </c>
      <c r="E20" s="3" t="s">
        <v>45</v>
      </c>
      <c r="F20" s="3">
        <v>19</v>
      </c>
      <c r="G20" s="3">
        <v>9900</v>
      </c>
      <c r="H20" s="8">
        <v>171000</v>
      </c>
      <c r="I20" s="8">
        <v>17100</v>
      </c>
      <c r="J20" s="8"/>
    </row>
    <row r="21" spans="1:19" ht="19.95" customHeight="1" x14ac:dyDescent="0.4">
      <c r="A21" s="3" t="s">
        <v>42</v>
      </c>
      <c r="B21" s="5">
        <v>45603</v>
      </c>
      <c r="C21" s="3" t="s">
        <v>43</v>
      </c>
      <c r="D21" s="3" t="s">
        <v>27</v>
      </c>
      <c r="E21" s="3" t="s">
        <v>45</v>
      </c>
      <c r="F21" s="3">
        <v>17</v>
      </c>
      <c r="G21" s="3">
        <v>12980</v>
      </c>
      <c r="H21" s="8">
        <v>200600</v>
      </c>
      <c r="I21" s="8">
        <v>20060</v>
      </c>
      <c r="J21" s="8"/>
    </row>
    <row r="22" spans="1:19" ht="19.95" customHeight="1" x14ac:dyDescent="0.4">
      <c r="A22" s="3" t="s">
        <v>42</v>
      </c>
      <c r="B22" s="5">
        <v>45603</v>
      </c>
      <c r="C22" s="3" t="s">
        <v>43</v>
      </c>
      <c r="D22" s="3" t="s">
        <v>46</v>
      </c>
      <c r="E22" s="3" t="s">
        <v>45</v>
      </c>
      <c r="F22" s="3">
        <v>17</v>
      </c>
      <c r="G22" s="3">
        <v>11900</v>
      </c>
      <c r="H22" s="8">
        <v>183909</v>
      </c>
      <c r="I22" s="8">
        <v>18391</v>
      </c>
      <c r="J22" s="8"/>
    </row>
    <row r="23" spans="1:19" ht="19.95" customHeight="1" x14ac:dyDescent="0.4">
      <c r="A23" s="3" t="s">
        <v>42</v>
      </c>
      <c r="B23" s="5">
        <v>45603</v>
      </c>
      <c r="C23" s="3" t="s">
        <v>43</v>
      </c>
      <c r="D23" s="3" t="s">
        <v>41</v>
      </c>
      <c r="E23" s="3" t="s">
        <v>45</v>
      </c>
      <c r="F23" s="3">
        <v>16</v>
      </c>
      <c r="G23" s="3">
        <v>34900</v>
      </c>
      <c r="H23" s="8">
        <v>507636</v>
      </c>
      <c r="I23" s="8">
        <v>50764</v>
      </c>
      <c r="J23" s="8"/>
    </row>
    <row r="24" spans="1:19" ht="19.95" customHeight="1" x14ac:dyDescent="0.4">
      <c r="A24" s="3" t="s">
        <v>47</v>
      </c>
      <c r="B24" s="5">
        <v>45604</v>
      </c>
      <c r="C24" s="3" t="s">
        <v>48</v>
      </c>
      <c r="D24" s="3" t="s">
        <v>49</v>
      </c>
      <c r="E24" s="3" t="s">
        <v>50</v>
      </c>
      <c r="F24" s="3">
        <v>10</v>
      </c>
      <c r="G24" s="8">
        <v>14900</v>
      </c>
      <c r="H24" s="8">
        <v>135455</v>
      </c>
      <c r="I24" s="8">
        <v>13546</v>
      </c>
    </row>
    <row r="25" spans="1:19" ht="19.95" customHeight="1" x14ac:dyDescent="0.4">
      <c r="A25" s="3" t="s">
        <v>47</v>
      </c>
      <c r="B25" s="5">
        <v>45604</v>
      </c>
      <c r="C25" s="3" t="s">
        <v>48</v>
      </c>
      <c r="D25" s="3" t="s">
        <v>44</v>
      </c>
      <c r="E25" s="3" t="s">
        <v>45</v>
      </c>
      <c r="F25" s="3">
        <v>26</v>
      </c>
      <c r="G25" s="8">
        <v>9980</v>
      </c>
      <c r="H25" s="8">
        <v>235891</v>
      </c>
      <c r="I25" s="8">
        <v>23590</v>
      </c>
    </row>
    <row r="26" spans="1:19" ht="19.95" customHeight="1" x14ac:dyDescent="0.4">
      <c r="A26" s="3" t="s">
        <v>47</v>
      </c>
      <c r="B26" s="5">
        <v>45604</v>
      </c>
      <c r="C26" s="3" t="s">
        <v>48</v>
      </c>
      <c r="D26" s="3" t="s">
        <v>35</v>
      </c>
      <c r="E26" s="3" t="s">
        <v>45</v>
      </c>
      <c r="F26" s="3">
        <v>19</v>
      </c>
      <c r="G26" s="8">
        <v>9900</v>
      </c>
      <c r="H26" s="8">
        <v>171000</v>
      </c>
      <c r="I26" s="8">
        <v>17100</v>
      </c>
    </row>
    <row r="27" spans="1:19" ht="19.95" customHeight="1" x14ac:dyDescent="0.4">
      <c r="A27" s="3" t="s">
        <v>47</v>
      </c>
      <c r="B27" s="5">
        <v>45604</v>
      </c>
      <c r="C27" s="3" t="s">
        <v>48</v>
      </c>
      <c r="D27" s="3" t="s">
        <v>44</v>
      </c>
      <c r="E27" s="3" t="s">
        <v>45</v>
      </c>
      <c r="F27" s="3">
        <v>13</v>
      </c>
      <c r="G27" s="8">
        <v>9980</v>
      </c>
      <c r="H27" s="8">
        <v>117945</v>
      </c>
      <c r="I27" s="8">
        <v>11795</v>
      </c>
    </row>
    <row r="28" spans="1:19" ht="19.95" customHeight="1" x14ac:dyDescent="0.4">
      <c r="A28" s="3" t="s">
        <v>47</v>
      </c>
      <c r="B28" s="5">
        <v>45604</v>
      </c>
      <c r="C28" s="3" t="s">
        <v>48</v>
      </c>
      <c r="D28" s="3" t="s">
        <v>35</v>
      </c>
      <c r="E28" s="3" t="s">
        <v>45</v>
      </c>
      <c r="F28" s="3">
        <v>19</v>
      </c>
      <c r="G28" s="8">
        <v>9900</v>
      </c>
      <c r="H28" s="8">
        <v>171000</v>
      </c>
      <c r="I28" s="8">
        <v>17100</v>
      </c>
    </row>
    <row r="29" spans="1:19" ht="19.95" customHeight="1" x14ac:dyDescent="0.4">
      <c r="A29" s="3" t="s">
        <v>47</v>
      </c>
      <c r="B29" s="5">
        <v>45604</v>
      </c>
      <c r="C29" s="3" t="s">
        <v>48</v>
      </c>
      <c r="D29" s="3" t="s">
        <v>27</v>
      </c>
      <c r="E29" s="3" t="s">
        <v>45</v>
      </c>
      <c r="F29" s="3">
        <v>17</v>
      </c>
      <c r="G29" s="8">
        <v>12980</v>
      </c>
      <c r="H29" s="8">
        <v>200600</v>
      </c>
      <c r="I29" s="8">
        <v>20060</v>
      </c>
    </row>
    <row r="30" spans="1:19" ht="19.95" customHeight="1" x14ac:dyDescent="0.4">
      <c r="A30" s="3" t="s">
        <v>51</v>
      </c>
      <c r="B30" s="5">
        <v>45606</v>
      </c>
      <c r="C30" s="3" t="s">
        <v>52</v>
      </c>
      <c r="D30" s="3" t="s">
        <v>53</v>
      </c>
      <c r="E30" s="3" t="s">
        <v>50</v>
      </c>
      <c r="F30" s="3">
        <v>10</v>
      </c>
      <c r="G30" s="8">
        <v>5000</v>
      </c>
      <c r="H30" s="8">
        <v>45455</v>
      </c>
      <c r="I30" s="8">
        <v>4546</v>
      </c>
    </row>
    <row r="31" spans="1:19" ht="19.95" customHeight="1" x14ac:dyDescent="0.4">
      <c r="A31" s="3" t="s">
        <v>51</v>
      </c>
      <c r="B31" s="5">
        <v>45606</v>
      </c>
      <c r="C31" s="3" t="s">
        <v>52</v>
      </c>
      <c r="D31" s="3" t="s">
        <v>54</v>
      </c>
      <c r="E31" s="3" t="s">
        <v>45</v>
      </c>
      <c r="F31" s="3">
        <v>10</v>
      </c>
      <c r="G31" s="8">
        <v>8000</v>
      </c>
      <c r="H31" s="8">
        <v>72728</v>
      </c>
      <c r="I31" s="8">
        <v>7273</v>
      </c>
    </row>
    <row r="32" spans="1:19" ht="19.95" customHeight="1" x14ac:dyDescent="0.4">
      <c r="A32" s="3" t="s">
        <v>51</v>
      </c>
      <c r="B32" s="5">
        <v>45606</v>
      </c>
      <c r="C32" s="3" t="s">
        <v>52</v>
      </c>
      <c r="D32" s="3" t="s">
        <v>55</v>
      </c>
      <c r="E32" s="3" t="s">
        <v>56</v>
      </c>
      <c r="F32" s="3">
        <v>10</v>
      </c>
      <c r="G32" s="8">
        <v>7000</v>
      </c>
      <c r="H32" s="8">
        <v>63637</v>
      </c>
      <c r="I32" s="8">
        <v>6364</v>
      </c>
    </row>
    <row r="33" spans="1:9" ht="19.95" customHeight="1" x14ac:dyDescent="0.4">
      <c r="A33" s="3" t="s">
        <v>82</v>
      </c>
      <c r="B33" s="5">
        <v>45602</v>
      </c>
      <c r="C33" s="3" t="s">
        <v>84</v>
      </c>
      <c r="D33" s="3" t="s">
        <v>44</v>
      </c>
      <c r="E33" s="3" t="s">
        <v>45</v>
      </c>
      <c r="F33" s="3">
        <v>13</v>
      </c>
      <c r="G33" s="8">
        <v>9980</v>
      </c>
      <c r="H33" s="8">
        <v>117945</v>
      </c>
      <c r="I33" s="8">
        <v>11795</v>
      </c>
    </row>
    <row r="34" spans="1:9" ht="19.95" customHeight="1" x14ac:dyDescent="0.4">
      <c r="A34" s="3" t="s">
        <v>82</v>
      </c>
      <c r="B34" s="5">
        <v>45602</v>
      </c>
      <c r="C34" s="3" t="s">
        <v>84</v>
      </c>
      <c r="D34" s="3" t="s">
        <v>35</v>
      </c>
      <c r="E34" s="3" t="s">
        <v>45</v>
      </c>
      <c r="F34" s="3">
        <v>19</v>
      </c>
      <c r="G34" s="8">
        <v>9900</v>
      </c>
      <c r="H34" s="8">
        <v>171000</v>
      </c>
      <c r="I34" s="8">
        <v>17100</v>
      </c>
    </row>
    <row r="35" spans="1:9" ht="19.95" customHeight="1" x14ac:dyDescent="0.4">
      <c r="A35" s="3" t="s">
        <v>82</v>
      </c>
      <c r="B35" s="5">
        <v>45602</v>
      </c>
      <c r="C35" s="3" t="s">
        <v>84</v>
      </c>
      <c r="D35" s="3" t="s">
        <v>27</v>
      </c>
      <c r="E35" s="3" t="s">
        <v>45</v>
      </c>
      <c r="F35" s="3">
        <v>17</v>
      </c>
      <c r="G35" s="8">
        <v>12980</v>
      </c>
      <c r="H35" s="8">
        <v>200600</v>
      </c>
      <c r="I35" s="8">
        <v>20060</v>
      </c>
    </row>
    <row r="36" spans="1:9" ht="19.95" customHeight="1" x14ac:dyDescent="0.4">
      <c r="A36" s="3" t="s">
        <v>82</v>
      </c>
      <c r="B36" s="5">
        <v>45602</v>
      </c>
      <c r="C36" s="3" t="s">
        <v>84</v>
      </c>
      <c r="D36" s="3" t="s">
        <v>46</v>
      </c>
      <c r="E36" s="3" t="s">
        <v>45</v>
      </c>
      <c r="F36" s="3">
        <v>17</v>
      </c>
      <c r="G36" s="8">
        <v>11900</v>
      </c>
      <c r="H36" s="8">
        <v>183909</v>
      </c>
      <c r="I36" s="8">
        <v>18391</v>
      </c>
    </row>
    <row r="37" spans="1:9" ht="19.95" customHeight="1" x14ac:dyDescent="0.4">
      <c r="A37" s="3" t="s">
        <v>82</v>
      </c>
      <c r="B37" s="5">
        <v>45602</v>
      </c>
      <c r="C37" s="3" t="s">
        <v>84</v>
      </c>
      <c r="D37" s="3" t="s">
        <v>41</v>
      </c>
      <c r="E37" s="3" t="s">
        <v>45</v>
      </c>
      <c r="F37" s="3">
        <v>16</v>
      </c>
      <c r="G37" s="8">
        <v>34900</v>
      </c>
      <c r="H37" s="8">
        <v>507636</v>
      </c>
      <c r="I37" s="8">
        <v>50764</v>
      </c>
    </row>
    <row r="38" spans="1:9" ht="19.95" customHeight="1" x14ac:dyDescent="0.4">
      <c r="A38" s="3" t="s">
        <v>87</v>
      </c>
      <c r="B38" s="5">
        <v>45602</v>
      </c>
      <c r="C38" s="3" t="s">
        <v>84</v>
      </c>
      <c r="D38" s="3" t="s">
        <v>23</v>
      </c>
      <c r="E38" s="3" t="s">
        <v>45</v>
      </c>
      <c r="F38" s="3">
        <v>17</v>
      </c>
      <c r="G38" s="8">
        <v>10980</v>
      </c>
      <c r="H38" s="8">
        <v>169691</v>
      </c>
      <c r="I38" s="8">
        <v>16970</v>
      </c>
    </row>
    <row r="39" spans="1:9" ht="19.95" customHeight="1" x14ac:dyDescent="0.4">
      <c r="A39" s="3" t="s">
        <v>87</v>
      </c>
      <c r="B39" s="5">
        <v>45602</v>
      </c>
      <c r="C39" s="3" t="s">
        <v>84</v>
      </c>
      <c r="D39" s="3" t="s">
        <v>27</v>
      </c>
      <c r="E39" s="3" t="s">
        <v>45</v>
      </c>
      <c r="F39" s="3">
        <v>30</v>
      </c>
      <c r="G39" s="8">
        <v>12980</v>
      </c>
      <c r="H39" s="8">
        <v>354000</v>
      </c>
      <c r="I39" s="8">
        <v>35400</v>
      </c>
    </row>
    <row r="40" spans="1:9" ht="19.95" customHeight="1" x14ac:dyDescent="0.4">
      <c r="A40" s="3" t="s">
        <v>87</v>
      </c>
      <c r="B40" s="5">
        <v>45602</v>
      </c>
      <c r="C40" s="3" t="s">
        <v>84</v>
      </c>
      <c r="D40" s="3" t="s">
        <v>85</v>
      </c>
      <c r="E40" s="3" t="s">
        <v>50</v>
      </c>
      <c r="F40" s="3">
        <v>16</v>
      </c>
      <c r="G40" s="8">
        <v>8980</v>
      </c>
      <c r="H40" s="8">
        <v>130618</v>
      </c>
      <c r="I40" s="8">
        <v>13062</v>
      </c>
    </row>
    <row r="41" spans="1:9" ht="19.95" customHeight="1" x14ac:dyDescent="0.4">
      <c r="A41" s="3" t="s">
        <v>87</v>
      </c>
      <c r="B41" s="5">
        <v>45602</v>
      </c>
      <c r="C41" s="3" t="s">
        <v>84</v>
      </c>
      <c r="D41" s="3" t="s">
        <v>49</v>
      </c>
      <c r="E41" s="3" t="s">
        <v>50</v>
      </c>
      <c r="F41" s="3">
        <v>10</v>
      </c>
      <c r="G41" s="8">
        <v>14900</v>
      </c>
      <c r="H41" s="8">
        <v>135455</v>
      </c>
      <c r="I41" s="8">
        <v>13546</v>
      </c>
    </row>
    <row r="42" spans="1:9" ht="19.95" customHeight="1" x14ac:dyDescent="0.4">
      <c r="A42" s="3" t="s">
        <v>88</v>
      </c>
      <c r="B42" s="5">
        <v>45602</v>
      </c>
      <c r="C42" s="3" t="s">
        <v>22</v>
      </c>
      <c r="D42" s="3" t="s">
        <v>54</v>
      </c>
      <c r="E42" s="3" t="s">
        <v>45</v>
      </c>
      <c r="F42" s="3">
        <v>5</v>
      </c>
      <c r="G42" s="8">
        <v>8000</v>
      </c>
      <c r="H42" s="8">
        <v>36364</v>
      </c>
      <c r="I42" s="8">
        <v>3636</v>
      </c>
    </row>
    <row r="43" spans="1:9" ht="19.95" customHeight="1" x14ac:dyDescent="0.4">
      <c r="A43" s="3" t="s">
        <v>88</v>
      </c>
      <c r="B43" s="5">
        <v>45602</v>
      </c>
      <c r="C43" s="3" t="s">
        <v>22</v>
      </c>
      <c r="D43" s="3" t="s">
        <v>55</v>
      </c>
      <c r="E43" s="3" t="s">
        <v>56</v>
      </c>
      <c r="F43" s="3">
        <v>5</v>
      </c>
      <c r="G43" s="8">
        <v>7000</v>
      </c>
      <c r="H43" s="8">
        <v>31818</v>
      </c>
      <c r="I43" s="8">
        <v>3181</v>
      </c>
    </row>
    <row r="44" spans="1:9" ht="19.95" customHeight="1" x14ac:dyDescent="0.4">
      <c r="A44" s="3" t="s">
        <v>88</v>
      </c>
      <c r="B44" s="5">
        <v>45602</v>
      </c>
      <c r="C44" s="3" t="s">
        <v>22</v>
      </c>
      <c r="D44" s="3" t="s">
        <v>44</v>
      </c>
      <c r="E44" s="3" t="s">
        <v>45</v>
      </c>
      <c r="F44" s="3">
        <v>5</v>
      </c>
      <c r="G44" s="8">
        <v>9980</v>
      </c>
      <c r="H44" s="8">
        <v>45364</v>
      </c>
      <c r="I44" s="8">
        <v>4536</v>
      </c>
    </row>
    <row r="45" spans="1:9" ht="19.95" customHeight="1" x14ac:dyDescent="0.4">
      <c r="A45" s="3" t="s">
        <v>89</v>
      </c>
      <c r="B45" s="5">
        <v>45602</v>
      </c>
      <c r="C45" s="3" t="s">
        <v>90</v>
      </c>
      <c r="D45" s="3" t="s">
        <v>54</v>
      </c>
      <c r="E45" s="3" t="s">
        <v>45</v>
      </c>
      <c r="F45" s="3">
        <v>10</v>
      </c>
      <c r="G45" s="8">
        <v>8000</v>
      </c>
      <c r="H45" s="8">
        <v>72727</v>
      </c>
      <c r="I45" s="8">
        <v>7272</v>
      </c>
    </row>
    <row r="46" spans="1:9" ht="19.95" customHeight="1" x14ac:dyDescent="0.4">
      <c r="A46" s="3" t="s">
        <v>89</v>
      </c>
      <c r="B46" s="5">
        <v>45602</v>
      </c>
      <c r="C46" s="3" t="s">
        <v>90</v>
      </c>
      <c r="D46" s="3" t="s">
        <v>44</v>
      </c>
      <c r="E46" s="3" t="s">
        <v>45</v>
      </c>
      <c r="F46" s="3">
        <v>20</v>
      </c>
      <c r="G46" s="8">
        <v>9980</v>
      </c>
      <c r="H46" s="8">
        <v>181455</v>
      </c>
      <c r="I46" s="8">
        <v>18145</v>
      </c>
    </row>
    <row r="47" spans="1:9" ht="19.95" customHeight="1" x14ac:dyDescent="0.4">
      <c r="A47" s="3" t="s">
        <v>89</v>
      </c>
      <c r="B47" s="5">
        <v>45602</v>
      </c>
      <c r="C47" s="3" t="s">
        <v>90</v>
      </c>
      <c r="D47" s="3" t="s">
        <v>85</v>
      </c>
      <c r="E47" s="3" t="s">
        <v>56</v>
      </c>
      <c r="F47" s="3">
        <v>30</v>
      </c>
      <c r="G47" s="8">
        <v>10000</v>
      </c>
      <c r="H47" s="8">
        <v>272727</v>
      </c>
      <c r="I47" s="8">
        <v>27272</v>
      </c>
    </row>
    <row r="48" spans="1:9" ht="19.95" customHeight="1" x14ac:dyDescent="0.4">
      <c r="A48" s="3" t="s">
        <v>91</v>
      </c>
      <c r="B48" s="5">
        <v>45597</v>
      </c>
      <c r="C48" s="3" t="s">
        <v>22</v>
      </c>
      <c r="D48" s="3" t="s">
        <v>27</v>
      </c>
      <c r="E48" s="3" t="s">
        <v>45</v>
      </c>
      <c r="F48" s="3">
        <v>30</v>
      </c>
      <c r="G48" s="8">
        <v>12980</v>
      </c>
      <c r="H48" s="8">
        <v>354000</v>
      </c>
      <c r="I48" s="8">
        <v>35400</v>
      </c>
    </row>
    <row r="49" spans="1:9" ht="19.95" customHeight="1" x14ac:dyDescent="0.4">
      <c r="A49" s="3" t="s">
        <v>91</v>
      </c>
      <c r="B49" s="5">
        <v>45597</v>
      </c>
      <c r="C49" s="3" t="s">
        <v>22</v>
      </c>
      <c r="D49" s="3" t="s">
        <v>23</v>
      </c>
      <c r="E49" s="3" t="s">
        <v>45</v>
      </c>
      <c r="F49" s="3">
        <v>17</v>
      </c>
      <c r="G49" s="8">
        <v>10980</v>
      </c>
      <c r="H49" s="8">
        <v>169691</v>
      </c>
      <c r="I49" s="8">
        <v>16970</v>
      </c>
    </row>
    <row r="50" spans="1:9" ht="19.95" customHeight="1" x14ac:dyDescent="0.4">
      <c r="A50" s="3" t="s">
        <v>91</v>
      </c>
      <c r="B50" s="5">
        <v>45597</v>
      </c>
      <c r="C50" s="3" t="s">
        <v>22</v>
      </c>
      <c r="D50" s="3" t="s">
        <v>49</v>
      </c>
      <c r="E50" s="3" t="s">
        <v>50</v>
      </c>
      <c r="F50" s="3">
        <v>10</v>
      </c>
      <c r="G50" s="8">
        <v>14900</v>
      </c>
      <c r="H50" s="8">
        <v>135455</v>
      </c>
      <c r="I50" s="8">
        <v>13546</v>
      </c>
    </row>
    <row r="51" spans="1:9" ht="19.95" customHeight="1" x14ac:dyDescent="0.4">
      <c r="A51" s="3" t="s">
        <v>91</v>
      </c>
      <c r="B51" s="5">
        <v>45597</v>
      </c>
      <c r="C51" s="3" t="s">
        <v>22</v>
      </c>
      <c r="D51" s="3" t="s">
        <v>29</v>
      </c>
      <c r="E51" s="3" t="s">
        <v>50</v>
      </c>
      <c r="F51" s="3">
        <v>16</v>
      </c>
      <c r="G51" s="8">
        <v>8980</v>
      </c>
      <c r="H51" s="8">
        <v>130618</v>
      </c>
      <c r="I51" s="8">
        <v>13062</v>
      </c>
    </row>
  </sheetData>
  <sortState xmlns:xlrd2="http://schemas.microsoft.com/office/spreadsheetml/2017/richdata2" ref="N2:T5">
    <sortCondition descending="1" ref="R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DE43-0DDF-4D45-A2E6-CA14399E85A9}">
  <sheetPr codeName="Sheet3"/>
  <dimension ref="A1:C19"/>
  <sheetViews>
    <sheetView zoomScaleNormal="100" workbookViewId="0"/>
  </sheetViews>
  <sheetFormatPr defaultRowHeight="30" customHeight="1" x14ac:dyDescent="0.4"/>
  <cols>
    <col min="1" max="2" width="23.69921875" customWidth="1"/>
    <col min="3" max="3" width="23.69921875" style="11" customWidth="1"/>
  </cols>
  <sheetData>
    <row r="1" spans="1:3" ht="30" customHeight="1" x14ac:dyDescent="0.4">
      <c r="A1" t="s">
        <v>8</v>
      </c>
      <c r="B1" t="s">
        <v>9</v>
      </c>
      <c r="C1" s="11" t="s">
        <v>11</v>
      </c>
    </row>
    <row r="2" spans="1:3" ht="30" customHeight="1" x14ac:dyDescent="0.4">
      <c r="A2" s="12" t="s">
        <v>57</v>
      </c>
      <c r="B2" s="12" t="s">
        <v>26</v>
      </c>
      <c r="C2" s="13">
        <v>35900</v>
      </c>
    </row>
    <row r="3" spans="1:3" ht="30" customHeight="1" x14ac:dyDescent="0.4">
      <c r="A3" s="12" t="s">
        <v>34</v>
      </c>
      <c r="B3" s="12" t="s">
        <v>24</v>
      </c>
      <c r="C3" s="13">
        <v>9980</v>
      </c>
    </row>
    <row r="4" spans="1:3" ht="30" customHeight="1" x14ac:dyDescent="0.4">
      <c r="A4" s="12" t="s">
        <v>35</v>
      </c>
      <c r="B4" s="12" t="s">
        <v>24</v>
      </c>
      <c r="C4" s="13">
        <v>9900</v>
      </c>
    </row>
    <row r="5" spans="1:3" ht="30" customHeight="1" x14ac:dyDescent="0.4">
      <c r="A5" s="12" t="s">
        <v>23</v>
      </c>
      <c r="B5" s="12" t="s">
        <v>24</v>
      </c>
      <c r="C5" s="13">
        <v>10980</v>
      </c>
    </row>
    <row r="6" spans="1:3" ht="30" customHeight="1" x14ac:dyDescent="0.4">
      <c r="A6" s="12" t="s">
        <v>27</v>
      </c>
      <c r="B6" s="12" t="s">
        <v>24</v>
      </c>
      <c r="C6" s="13">
        <v>12980</v>
      </c>
    </row>
    <row r="7" spans="1:3" ht="30" customHeight="1" x14ac:dyDescent="0.4">
      <c r="A7" s="12" t="s">
        <v>29</v>
      </c>
      <c r="B7" s="12" t="s">
        <v>30</v>
      </c>
      <c r="C7" s="13">
        <v>8980</v>
      </c>
    </row>
    <row r="8" spans="1:3" ht="30" customHeight="1" x14ac:dyDescent="0.4">
      <c r="A8" s="12" t="s">
        <v>31</v>
      </c>
      <c r="B8" s="12" t="s">
        <v>30</v>
      </c>
      <c r="C8" s="13">
        <v>14900</v>
      </c>
    </row>
    <row r="9" spans="1:3" ht="30" customHeight="1" x14ac:dyDescent="0.4">
      <c r="A9" s="12" t="s">
        <v>58</v>
      </c>
      <c r="B9" s="12" t="s">
        <v>30</v>
      </c>
      <c r="C9" s="13">
        <v>9980</v>
      </c>
    </row>
    <row r="10" spans="1:3" ht="30" customHeight="1" x14ac:dyDescent="0.4">
      <c r="A10" s="12" t="s">
        <v>36</v>
      </c>
      <c r="B10" s="12" t="s">
        <v>24</v>
      </c>
      <c r="C10" s="13">
        <v>11900</v>
      </c>
    </row>
    <row r="11" spans="1:3" ht="30" customHeight="1" x14ac:dyDescent="0.4">
      <c r="A11" s="12" t="s">
        <v>41</v>
      </c>
      <c r="B11" s="12" t="s">
        <v>24</v>
      </c>
      <c r="C11" s="13">
        <v>34900</v>
      </c>
    </row>
    <row r="12" spans="1:3" ht="30" customHeight="1" x14ac:dyDescent="0.4">
      <c r="A12" s="12" t="s">
        <v>37</v>
      </c>
      <c r="B12" s="12" t="s">
        <v>26</v>
      </c>
      <c r="C12" s="13">
        <v>14980</v>
      </c>
    </row>
    <row r="13" spans="1:3" ht="30" customHeight="1" x14ac:dyDescent="0.4">
      <c r="A13" s="12" t="s">
        <v>25</v>
      </c>
      <c r="B13" s="12" t="s">
        <v>26</v>
      </c>
      <c r="C13" s="13">
        <v>14980</v>
      </c>
    </row>
    <row r="14" spans="1:3" ht="30" customHeight="1" x14ac:dyDescent="0.4">
      <c r="A14" s="12" t="s">
        <v>59</v>
      </c>
      <c r="B14" s="12" t="s">
        <v>26</v>
      </c>
      <c r="C14" s="13">
        <v>19800</v>
      </c>
    </row>
    <row r="15" spans="1:3" ht="30" customHeight="1" x14ac:dyDescent="0.4">
      <c r="A15" s="12" t="s">
        <v>28</v>
      </c>
      <c r="B15" s="12" t="s">
        <v>24</v>
      </c>
      <c r="C15" s="13">
        <v>35600</v>
      </c>
    </row>
    <row r="16" spans="1:3" ht="30" customHeight="1" x14ac:dyDescent="0.4">
      <c r="A16" t="s">
        <v>16</v>
      </c>
      <c r="B16" t="s">
        <v>24</v>
      </c>
      <c r="C16" s="11">
        <v>8000</v>
      </c>
    </row>
    <row r="17" spans="1:3" ht="30" customHeight="1" x14ac:dyDescent="0.4">
      <c r="A17" t="s">
        <v>17</v>
      </c>
      <c r="B17" t="s">
        <v>26</v>
      </c>
      <c r="C17" s="11">
        <v>7000</v>
      </c>
    </row>
    <row r="18" spans="1:3" ht="30" customHeight="1" x14ac:dyDescent="0.4">
      <c r="A18" t="s">
        <v>15</v>
      </c>
      <c r="B18" t="s">
        <v>30</v>
      </c>
      <c r="C18" s="11">
        <v>5000</v>
      </c>
    </row>
    <row r="19" spans="1:3" ht="30" customHeight="1" x14ac:dyDescent="0.4">
      <c r="A19" t="s">
        <v>86</v>
      </c>
      <c r="B19" t="s">
        <v>26</v>
      </c>
      <c r="C19" s="11">
        <v>10000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FA982-4B01-4EE5-A359-BCD1DC483AAA}">
  <sheetPr codeName="Sheet4">
    <tabColor theme="6" tint="-0.249977111117893"/>
  </sheetPr>
  <dimension ref="D1:F13"/>
  <sheetViews>
    <sheetView zoomScale="145" zoomScaleNormal="145" workbookViewId="0"/>
  </sheetViews>
  <sheetFormatPr defaultRowHeight="17.399999999999999" x14ac:dyDescent="0.4"/>
  <cols>
    <col min="3" max="3" width="4.69921875" customWidth="1"/>
    <col min="4" max="4" width="75.3984375" style="18" customWidth="1"/>
    <col min="5" max="5" width="14.69921875" style="17" customWidth="1"/>
    <col min="6" max="6" width="117.19921875" hidden="1" customWidth="1"/>
  </cols>
  <sheetData>
    <row r="1" spans="4:6" ht="24" customHeight="1" x14ac:dyDescent="0.4"/>
    <row r="2" spans="4:6" ht="24.75" customHeight="1" x14ac:dyDescent="0.4">
      <c r="D2" s="18" t="s">
        <v>67</v>
      </c>
      <c r="E2" s="17" t="s">
        <v>66</v>
      </c>
      <c r="F2" t="s">
        <v>65</v>
      </c>
    </row>
    <row r="3" spans="4:6" ht="24.75" customHeight="1" x14ac:dyDescent="0.4">
      <c r="D3" s="20" t="s">
        <v>93</v>
      </c>
      <c r="E3" s="19" t="str">
        <f>HYPERLINK(F3,"바로가기")</f>
        <v>바로가기</v>
      </c>
      <c r="F3" t="s">
        <v>92</v>
      </c>
    </row>
    <row r="4" spans="4:6" ht="24.75" customHeight="1" x14ac:dyDescent="0.4">
      <c r="D4" s="20" t="s">
        <v>71</v>
      </c>
      <c r="E4" s="19" t="str">
        <f>HYPERLINK(F4,"바로가기")</f>
        <v>바로가기</v>
      </c>
      <c r="F4" t="s">
        <v>70</v>
      </c>
    </row>
    <row r="5" spans="4:6" ht="24.75" customHeight="1" x14ac:dyDescent="0.4">
      <c r="D5" s="18" t="s">
        <v>62</v>
      </c>
      <c r="E5" s="19" t="str">
        <f>HYPERLINK(F5,"바로가기")</f>
        <v>바로가기</v>
      </c>
      <c r="F5" t="s">
        <v>61</v>
      </c>
    </row>
    <row r="6" spans="4:6" ht="24.75" customHeight="1" x14ac:dyDescent="0.4">
      <c r="D6" s="20" t="s">
        <v>64</v>
      </c>
      <c r="E6" s="19" t="str">
        <f>HYPERLINK(F6,"바로가기")</f>
        <v>바로가기</v>
      </c>
      <c r="F6" t="s">
        <v>63</v>
      </c>
    </row>
    <row r="7" spans="4:6" ht="24.75" customHeight="1" x14ac:dyDescent="0.4">
      <c r="D7" s="20" t="s">
        <v>69</v>
      </c>
      <c r="E7" s="19" t="str">
        <f>HYPERLINK(F7,"바로가기")</f>
        <v>바로가기</v>
      </c>
      <c r="F7" t="s">
        <v>68</v>
      </c>
    </row>
    <row r="8" spans="4:6" ht="24.75" customHeight="1" x14ac:dyDescent="0.4">
      <c r="D8" s="20"/>
      <c r="E8" s="19"/>
    </row>
    <row r="9" spans="4:6" ht="24.75" customHeight="1" x14ac:dyDescent="0.4"/>
    <row r="10" spans="4:6" ht="24.75" customHeight="1" x14ac:dyDescent="0.4"/>
    <row r="11" spans="4:6" ht="24.75" customHeight="1" x14ac:dyDescent="0.4"/>
    <row r="12" spans="4:6" ht="24.75" customHeight="1" x14ac:dyDescent="0.4"/>
    <row r="13" spans="4:6" ht="24.75" customHeight="1" x14ac:dyDescent="0.4"/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 지정된 범위</vt:lpstr>
      </vt:variant>
      <vt:variant>
        <vt:i4>6</vt:i4>
      </vt:variant>
    </vt:vector>
  </HeadingPairs>
  <TitlesOfParts>
    <vt:vector size="10" baseType="lpstr">
      <vt:lpstr>견적서</vt:lpstr>
      <vt:lpstr>DB</vt:lpstr>
      <vt:lpstr>제품목록</vt:lpstr>
      <vt:lpstr>✨보충강의</vt:lpstr>
      <vt:lpstr>DB!Criteria</vt:lpstr>
      <vt:lpstr>DB!Extract</vt:lpstr>
      <vt:lpstr>견적서!Extract</vt:lpstr>
      <vt:lpstr>초기화</vt:lpstr>
      <vt:lpstr>초기화2</vt:lpstr>
      <vt:lpstr>초기화범위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전진권</dc:creator>
  <cp:lastModifiedBy>전진권</cp:lastModifiedBy>
  <cp:lastPrinted>2024-12-02T17:53:58Z</cp:lastPrinted>
  <dcterms:created xsi:type="dcterms:W3CDTF">2024-11-16T09:59:14Z</dcterms:created>
  <dcterms:modified xsi:type="dcterms:W3CDTF">2024-12-02T17:56:04Z</dcterms:modified>
</cp:coreProperties>
</file>